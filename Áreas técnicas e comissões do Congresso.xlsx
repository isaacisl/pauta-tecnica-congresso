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ius.almeida\Downloads\"/>
    </mc:Choice>
  </mc:AlternateContent>
  <xr:revisionPtr revIDLastSave="0" documentId="13_ncr:1_{59AE8825-2AC5-4F1A-942D-271DCACB743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missões" sheetId="1" r:id="rId1"/>
    <sheet name="Parâmetros" sheetId="3" r:id="rId2"/>
    <sheet name="Totais" sheetId="4" r:id="rId3"/>
    <sheet name="Projetos prioritários - Área" sheetId="2" r:id="rId4"/>
  </sheets>
  <definedNames>
    <definedName name="_xlnm.Print_Area" localSheetId="0">Comissões!$A$2:$E$23</definedName>
    <definedName name="SegmentaçãodeDados_Área_Técnica">#N/A</definedName>
    <definedName name="SegmentaçãodeDados_Área_Técnica1">#N/A</definedName>
    <definedName name="SegmentaçãodeDados_Há_parecer_elaborado?">#N/A</definedName>
    <definedName name="SegmentaçãodeDados_Há_parecer_elaborado?1">#N/A</definedName>
    <definedName name="SegmentaçãodeDados_Posicionamento_da_área_técnica">#N/A</definedName>
    <definedName name="SegmentaçãodeDados_Posicionamento_da_área_técnica1">#N/A</definedName>
    <definedName name="SegmentaçãodeDados_Responsável">#N/A</definedName>
    <definedName name="SegmentaçãodeDados_Sugestão_de_emenda">#N/A</definedName>
    <definedName name="SegmentaçãodeDados_Sugestão_de_emenda1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H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<sst xmlns="http://schemas.openxmlformats.org/spreadsheetml/2006/main" count="400" uniqueCount="272">
  <si>
    <t>Áreas técnicas da CNM</t>
  </si>
  <si>
    <t>Comissões Permanentes do Senado:</t>
  </si>
  <si>
    <t>Comissões Mistas Permanentes</t>
  </si>
  <si>
    <t xml:space="preserve"> Assistência Social </t>
  </si>
  <si>
    <t xml:space="preserve"> Educação </t>
  </si>
  <si>
    <t xml:space="preserve"> Saúde </t>
  </si>
  <si>
    <t xml:space="preserve"> Consórcios Públicos </t>
  </si>
  <si>
    <t xml:space="preserve"> Meio Ambiente </t>
  </si>
  <si>
    <t xml:space="preserve"> Saneamento </t>
  </si>
  <si>
    <t xml:space="preserve"> Planejamento Territorial e Habitação </t>
  </si>
  <si>
    <t xml:space="preserve"> Transporte e Mobilidade </t>
  </si>
  <si>
    <t xml:space="preserve"> Desenvolvimento Rural </t>
  </si>
  <si>
    <t xml:space="preserve"> Finanças </t>
  </si>
  <si>
    <t xml:space="preserve"> Previdência </t>
  </si>
  <si>
    <t xml:space="preserve"> Contabilidade </t>
  </si>
  <si>
    <t xml:space="preserve"> Mulheres </t>
  </si>
  <si>
    <t xml:space="preserve"> Obras e Transferências da União </t>
  </si>
  <si>
    <t xml:space="preserve"> Turismo </t>
  </si>
  <si>
    <t xml:space="preserve"> Cultura </t>
  </si>
  <si>
    <t xml:space="preserve"> Orçamento </t>
  </si>
  <si>
    <t xml:space="preserve"> Segurança Pública </t>
  </si>
  <si>
    <t xml:space="preserve"> Jurídico </t>
  </si>
  <si>
    <t xml:space="preserve"> Estudos Técnicos </t>
  </si>
  <si>
    <t>Comissões do Senado - Típicas</t>
  </si>
  <si>
    <t>Comissões do Senado - Comuns</t>
  </si>
  <si>
    <t>CAE, CCJ</t>
  </si>
  <si>
    <t>CTFC</t>
  </si>
  <si>
    <t>CAS</t>
  </si>
  <si>
    <t>CE, CCT</t>
  </si>
  <si>
    <t>CAS, CDH</t>
  </si>
  <si>
    <t>CI, CDR, CAE, CAS</t>
  </si>
  <si>
    <t xml:space="preserve">CI, CAE, CDR </t>
  </si>
  <si>
    <t>CI, CDR</t>
  </si>
  <si>
    <t>CRA, CDR</t>
  </si>
  <si>
    <t>CAE, CTFC</t>
  </si>
  <si>
    <t>CDH, CAS</t>
  </si>
  <si>
    <t>CI, CTFC</t>
  </si>
  <si>
    <t>CDR</t>
  </si>
  <si>
    <t>CE</t>
  </si>
  <si>
    <t>CMO (Mista), CTFC</t>
  </si>
  <si>
    <t>CSP</t>
  </si>
  <si>
    <r>
      <t>Comissão:</t>
    </r>
    <r>
      <rPr>
        <sz val="12"/>
        <color rgb="FF363636"/>
        <rFont val="Segoe UI"/>
        <family val="2"/>
      </rPr>
      <t>Comissão Externa sobre os atos de pirataria e a agenda do "Brasil Legal"</t>
    </r>
  </si>
  <si>
    <r>
      <t>Comissão:</t>
    </r>
    <r>
      <rPr>
        <sz val="12"/>
        <color rgb="FF363636"/>
        <rFont val="Segoe UI"/>
        <family val="2"/>
      </rPr>
      <t>Comissão Especial da Política Nacional para Pessoas com Autismo (PL 3080/20)</t>
    </r>
  </si>
  <si>
    <r>
      <t>Comissão:</t>
    </r>
    <r>
      <rPr>
        <sz val="12"/>
        <color rgb="FF363636"/>
        <rFont val="Segoe UI"/>
        <family val="2"/>
      </rPr>
      <t>Comissão de Comunicação</t>
    </r>
  </si>
  <si>
    <r>
      <t>Comissão:</t>
    </r>
    <r>
      <rPr>
        <sz val="12"/>
        <color rgb="FF363636"/>
        <rFont val="Segoe UI"/>
        <family val="2"/>
      </rPr>
      <t>Comissão de Legislação Participativa</t>
    </r>
  </si>
  <si>
    <r>
      <t>Comissão:</t>
    </r>
    <r>
      <rPr>
        <sz val="12"/>
        <color rgb="FF363636"/>
        <rFont val="Segoe UI"/>
        <family val="2"/>
      </rPr>
      <t>Comissão Especial sobre o Novo Enquadramento do Microempreendedor Individual (PLP 108/21)</t>
    </r>
  </si>
  <si>
    <r>
      <t>Comissão:</t>
    </r>
    <r>
      <rPr>
        <sz val="12"/>
        <color rgb="FF363636"/>
        <rFont val="Segoe UI"/>
        <family val="2"/>
      </rPr>
      <t>Grupo de Trabalho sobre Crimes Praticados em Razão de Misoginia</t>
    </r>
  </si>
  <si>
    <r>
      <t>Comissão:</t>
    </r>
    <r>
      <rPr>
        <sz val="12"/>
        <color rgb="FF363636"/>
        <rFont val="Segoe UI"/>
        <family val="2"/>
      </rPr>
      <t>Comissão Especial sobre Prevenção e Combate ao Câncer, AVC e Doenças do Coração</t>
    </r>
  </si>
  <si>
    <r>
      <t>Comissão:</t>
    </r>
    <r>
      <rPr>
        <sz val="12"/>
        <color rgb="FF363636"/>
        <rFont val="Segoe UI"/>
        <family val="2"/>
      </rPr>
      <t>Comissão Especial sobre Transição Energética e Produção de Hidrogênio Verde</t>
    </r>
  </si>
  <si>
    <r>
      <t>Comissão:</t>
    </r>
    <r>
      <rPr>
        <sz val="12"/>
        <color rgb="FF363636"/>
        <rFont val="Segoe UI"/>
        <family val="2"/>
      </rPr>
      <t>Comissão Externa sobre fiscalização dos rompimentos de barragens e repactuação</t>
    </r>
  </si>
  <si>
    <r>
      <t>Comissão:</t>
    </r>
    <r>
      <rPr>
        <sz val="12"/>
        <color rgb="FF363636"/>
        <rFont val="Segoe UI"/>
        <family val="2"/>
      </rPr>
      <t>Comissão Externa sobre Danos Causados pelas Enchentes no Rio Grande do Sul</t>
    </r>
  </si>
  <si>
    <r>
      <t>Comissão:</t>
    </r>
    <r>
      <rPr>
        <sz val="12"/>
        <color rgb="FF363636"/>
        <rFont val="Segoe UI"/>
        <family val="2"/>
      </rPr>
      <t>Comissão Mista de Orçamento</t>
    </r>
  </si>
  <si>
    <r>
      <t>Comissão:</t>
    </r>
    <r>
      <rPr>
        <sz val="12"/>
        <color rgb="FF363636"/>
        <rFont val="Segoe UI"/>
        <family val="2"/>
      </rPr>
      <t>Comissão Especial sobre o FPM e os Fundos Constitucionais Sul/Sudeste (PEC 231/19)</t>
    </r>
  </si>
  <si>
    <r>
      <t>Comissão:</t>
    </r>
    <r>
      <rPr>
        <sz val="12"/>
        <color rgb="FF363636"/>
        <rFont val="Segoe UI"/>
        <family val="2"/>
      </rPr>
      <t>Comissão Externa sobre Prevenção e Enfrentamento da Violência Sexual Infantojuvenil</t>
    </r>
  </si>
  <si>
    <r>
      <t>Comissão:</t>
    </r>
    <r>
      <rPr>
        <sz val="12"/>
        <color rgb="FF363636"/>
        <rFont val="Segoe UI"/>
        <family val="2"/>
      </rPr>
      <t>Comissão Externa sobre os impactos das chuvas intensas ocorridas na Zona da Mata - MG</t>
    </r>
  </si>
  <si>
    <r>
      <t>Comissão:</t>
    </r>
    <r>
      <rPr>
        <sz val="12"/>
        <color rgb="FF363636"/>
        <rFont val="Segoe UI"/>
        <family val="2"/>
      </rPr>
      <t>Comissão Externa sobre os Feminicídios ocorridos no Estado do Rio Grande do Sul</t>
    </r>
  </si>
  <si>
    <r>
      <t>Comissão:</t>
    </r>
    <r>
      <rPr>
        <sz val="12"/>
        <color rgb="FF363636"/>
        <rFont val="Segoe UI"/>
        <family val="2"/>
      </rPr>
      <t>Comissão Especial sobre Prevenção e Auxílio a Desastres e Calamidades Naturais</t>
    </r>
  </si>
  <si>
    <r>
      <t>Comissão:</t>
    </r>
    <r>
      <rPr>
        <sz val="12"/>
        <color rgb="FF363636"/>
        <rFont val="Segoe UI"/>
        <family val="2"/>
      </rPr>
      <t>Comissão Especial sobre a 1ª Infância Direitos Garantias Constitucionais (PEC 034/24)</t>
    </r>
  </si>
  <si>
    <t>Comissões da Câmara dos Deputados - Típicas</t>
  </si>
  <si>
    <t>CS</t>
  </si>
  <si>
    <t>CT</t>
  </si>
  <si>
    <t>CSPCCO</t>
  </si>
  <si>
    <t>CFT, CCJC</t>
  </si>
  <si>
    <t>CVT</t>
  </si>
  <si>
    <t>CDHMIR, CDDM</t>
  </si>
  <si>
    <t>CMADS</t>
  </si>
  <si>
    <t>CAPADR</t>
  </si>
  <si>
    <t>CMADS, CAPOT</t>
  </si>
  <si>
    <t>CPASF</t>
  </si>
  <si>
    <t>CE, CDDPD, CTI, Cesporte</t>
  </si>
  <si>
    <t>CC, Cesporte</t>
  </si>
  <si>
    <t>CDU</t>
  </si>
  <si>
    <t>CDHMIR, CDDPD, CPASF, Cidoso</t>
  </si>
  <si>
    <t>Cindre</t>
  </si>
  <si>
    <t xml:space="preserve"> </t>
  </si>
  <si>
    <t>CME, CFFC, CICS</t>
  </si>
  <si>
    <t>CMO</t>
  </si>
  <si>
    <t>CDE, CTI</t>
  </si>
  <si>
    <t>CRE</t>
  </si>
  <si>
    <t>CI  CTFC, CM</t>
  </si>
  <si>
    <t>CMADS, CDU</t>
  </si>
  <si>
    <t>CMA, CM</t>
  </si>
  <si>
    <t>Comissões da Câmara - Comuns</t>
  </si>
  <si>
    <t>Glossário</t>
  </si>
  <si>
    <t>Comissões Permanentes da Câmara:</t>
  </si>
  <si>
    <r>
      <rPr>
        <b/>
        <sz val="11"/>
        <color theme="1"/>
        <rFont val="Arial"/>
        <family val="2"/>
      </rPr>
      <t xml:space="preserve">CAS: </t>
    </r>
    <r>
      <rPr>
        <sz val="11"/>
        <color theme="1"/>
        <rFont val="Arial"/>
        <family val="2"/>
      </rPr>
      <t>Comissão de Assuntos Sociais</t>
    </r>
  </si>
  <si>
    <r>
      <rPr>
        <b/>
        <sz val="11"/>
        <color theme="1"/>
        <rFont val="Arial"/>
        <family val="2"/>
      </rPr>
      <t>CS: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Saúde</t>
    </r>
  </si>
  <si>
    <r>
      <rPr>
        <b/>
        <sz val="11"/>
        <color theme="1"/>
        <rFont val="Arial"/>
        <family val="2"/>
      </rPr>
      <t xml:space="preserve">CAE: </t>
    </r>
    <r>
      <rPr>
        <sz val="11"/>
        <color theme="1"/>
        <rFont val="Arial"/>
        <family val="2"/>
      </rPr>
      <t>Comissão de Assuntos Econômicos</t>
    </r>
  </si>
  <si>
    <r>
      <rPr>
        <b/>
        <sz val="11"/>
        <color theme="1"/>
        <rFont val="Arial"/>
        <family val="2"/>
      </rPr>
      <t xml:space="preserve">CHDMIR: </t>
    </r>
    <r>
      <rPr>
        <sz val="12"/>
        <color rgb="FF363636"/>
        <rFont val="Arial"/>
        <family val="2"/>
      </rPr>
      <t>Comissão de Direitos Humanos, Minorias e Igualdade Racial</t>
    </r>
  </si>
  <si>
    <r>
      <rPr>
        <b/>
        <sz val="11"/>
        <color theme="1"/>
        <rFont val="Arial"/>
        <family val="2"/>
      </rPr>
      <t xml:space="preserve">CCJ: </t>
    </r>
    <r>
      <rPr>
        <sz val="11"/>
        <color theme="1"/>
        <rFont val="Arial"/>
        <family val="2"/>
      </rPr>
      <t xml:space="preserve">Comissão de Constituição e Justiça </t>
    </r>
  </si>
  <si>
    <r>
      <rPr>
        <b/>
        <sz val="11"/>
        <color theme="1"/>
        <rFont val="Arial"/>
        <family val="2"/>
      </rPr>
      <t xml:space="preserve">CE: </t>
    </r>
    <r>
      <rPr>
        <sz val="11"/>
        <color theme="1"/>
        <rFont val="Arial"/>
        <family val="2"/>
      </rPr>
      <t xml:space="preserve">Comissão de Educação e Cultura </t>
    </r>
  </si>
  <si>
    <r>
      <rPr>
        <b/>
        <sz val="11"/>
        <color theme="1"/>
        <rFont val="Arial"/>
        <family val="2"/>
      </rPr>
      <t>CTFC:</t>
    </r>
    <r>
      <rPr>
        <sz val="11"/>
        <color theme="1"/>
        <rFont val="Arial"/>
        <family val="2"/>
      </rPr>
      <t xml:space="preserve"> Comissão de  Transparência, Governança, Fiscalização e Controle e Defesa do Consumidor</t>
    </r>
  </si>
  <si>
    <r>
      <rPr>
        <b/>
        <sz val="11"/>
        <color theme="1"/>
        <rFont val="Arial"/>
        <family val="2"/>
      </rPr>
      <t xml:space="preserve">CDH: </t>
    </r>
    <r>
      <rPr>
        <sz val="11"/>
        <color theme="1"/>
        <rFont val="Arial"/>
        <family val="2"/>
      </rPr>
      <t>Comissão de Direitos Humanos e Legislação Participativa</t>
    </r>
  </si>
  <si>
    <r>
      <rPr>
        <b/>
        <sz val="11"/>
        <color theme="1"/>
        <rFont val="Arial"/>
        <family val="2"/>
      </rPr>
      <t>CRE:</t>
    </r>
    <r>
      <rPr>
        <sz val="11"/>
        <color theme="1"/>
        <rFont val="Arial"/>
        <family val="2"/>
      </rPr>
      <t xml:space="preserve"> Comissão de Relações  Exteriores e Defesa Nacional</t>
    </r>
  </si>
  <si>
    <r>
      <rPr>
        <b/>
        <sz val="11"/>
        <color theme="1"/>
        <rFont val="Arial"/>
        <family val="2"/>
      </rPr>
      <t xml:space="preserve">CI: </t>
    </r>
    <r>
      <rPr>
        <sz val="11"/>
        <color theme="1"/>
        <rFont val="Arial"/>
        <family val="2"/>
      </rPr>
      <t>Comissão de  Serviços de Infraestrutura</t>
    </r>
  </si>
  <si>
    <r>
      <rPr>
        <b/>
        <sz val="11"/>
        <color theme="1"/>
        <rFont val="Arial"/>
        <family val="2"/>
      </rPr>
      <t xml:space="preserve">CDR: </t>
    </r>
    <r>
      <rPr>
        <sz val="11"/>
        <color theme="1"/>
        <rFont val="Arial"/>
        <family val="2"/>
      </rPr>
      <t>Comissão de  Desenvolvimento Regional e Turismo</t>
    </r>
  </si>
  <si>
    <r>
      <rPr>
        <b/>
        <sz val="11"/>
        <color theme="1"/>
        <rFont val="Arial"/>
        <family val="2"/>
      </rPr>
      <t>CRA:</t>
    </r>
    <r>
      <rPr>
        <sz val="11"/>
        <color theme="1"/>
        <rFont val="Arial"/>
        <family val="2"/>
      </rPr>
      <t xml:space="preserve"> Comissão de Agricultura e Reforma Agrária</t>
    </r>
  </si>
  <si>
    <r>
      <rPr>
        <b/>
        <sz val="11"/>
        <color theme="1"/>
        <rFont val="Arial"/>
        <family val="2"/>
      </rPr>
      <t xml:space="preserve">CCT: </t>
    </r>
    <r>
      <rPr>
        <sz val="11"/>
        <color theme="1"/>
        <rFont val="Arial"/>
        <family val="2"/>
      </rPr>
      <t>Comissão de  Ciência, Tecnologia, Inovação e Informática</t>
    </r>
  </si>
  <si>
    <r>
      <rPr>
        <b/>
        <sz val="11"/>
        <color theme="1"/>
        <rFont val="Arial"/>
        <family val="2"/>
      </rPr>
      <t>CDD:</t>
    </r>
    <r>
      <rPr>
        <sz val="11"/>
        <color theme="1"/>
        <rFont val="Arial"/>
        <family val="2"/>
      </rPr>
      <t xml:space="preserve">  Comissão de Defesa da Democracia</t>
    </r>
  </si>
  <si>
    <r>
      <rPr>
        <b/>
        <sz val="11"/>
        <color theme="1"/>
        <rFont val="Arial"/>
        <family val="2"/>
      </rPr>
      <t xml:space="preserve">CMA: </t>
    </r>
    <r>
      <rPr>
        <sz val="11"/>
        <color theme="1"/>
        <rFont val="Arial"/>
        <family val="2"/>
      </rPr>
      <t>Comissão de Meio Ambiente</t>
    </r>
  </si>
  <si>
    <r>
      <rPr>
        <b/>
        <sz val="11"/>
        <color theme="1"/>
        <rFont val="Arial"/>
        <family val="2"/>
      </rPr>
      <t xml:space="preserve">CSP: </t>
    </r>
    <r>
      <rPr>
        <sz val="11"/>
        <color theme="1"/>
        <rFont val="Arial"/>
        <family val="2"/>
      </rPr>
      <t>Comissão de Segurança Pública</t>
    </r>
  </si>
  <si>
    <r>
      <rPr>
        <b/>
        <sz val="11"/>
        <color theme="1"/>
        <rFont val="Arial"/>
        <family val="2"/>
      </rPr>
      <t>CCDD:</t>
    </r>
    <r>
      <rPr>
        <sz val="11"/>
        <color theme="1"/>
        <rFont val="Arial"/>
        <family val="2"/>
      </rPr>
      <t xml:space="preserve"> Comissão de Comunicação e Direito Digital</t>
    </r>
  </si>
  <si>
    <r>
      <rPr>
        <b/>
        <sz val="11"/>
        <color theme="1"/>
        <rFont val="Arial"/>
        <family val="2"/>
      </rPr>
      <t xml:space="preserve">CEsp : </t>
    </r>
    <r>
      <rPr>
        <sz val="11"/>
        <color theme="1"/>
        <rFont val="Arial"/>
        <family val="2"/>
      </rPr>
      <t>Comissão do Esporte</t>
    </r>
  </si>
  <si>
    <r>
      <rPr>
        <b/>
        <sz val="11"/>
        <color theme="1"/>
        <rFont val="Arial"/>
        <family val="2"/>
      </rPr>
      <t>CMO:</t>
    </r>
    <r>
      <rPr>
        <sz val="11"/>
        <color theme="1"/>
        <rFont val="Arial"/>
        <family val="2"/>
      </rPr>
      <t xml:space="preserve"> Comissão Mista de Orçamento e Planos</t>
    </r>
  </si>
  <si>
    <r>
      <rPr>
        <b/>
        <sz val="11"/>
        <color theme="1"/>
        <rFont val="Arial"/>
        <family val="2"/>
      </rPr>
      <t>CM:</t>
    </r>
    <r>
      <rPr>
        <sz val="11"/>
        <color theme="1"/>
        <rFont val="Arial"/>
        <family val="2"/>
      </rPr>
      <t xml:space="preserve"> Comissão Mista de Mudanças Climáticas</t>
    </r>
  </si>
  <si>
    <r>
      <rPr>
        <b/>
        <sz val="11"/>
        <color theme="1"/>
        <rFont val="Arial"/>
        <family val="2"/>
      </rPr>
      <t xml:space="preserve">CSPCCO: </t>
    </r>
    <r>
      <rPr>
        <sz val="12"/>
        <color rgb="FF363636"/>
        <rFont val="Arial"/>
        <family val="2"/>
      </rPr>
      <t>Comissão de Segurança Pública e Combate ao Crime Organizado</t>
    </r>
  </si>
  <si>
    <r>
      <rPr>
        <b/>
        <sz val="11"/>
        <color rgb="FF363636"/>
        <rFont val="Arial"/>
        <family val="2"/>
      </rPr>
      <t>CCJC:</t>
    </r>
    <r>
      <rPr>
        <sz val="11"/>
        <color rgb="FF363636"/>
        <rFont val="Arial"/>
        <family val="2"/>
      </rPr>
      <t xml:space="preserve"> Comissão de Constituição e Justiça e de Cidadania</t>
    </r>
  </si>
  <si>
    <r>
      <rPr>
        <b/>
        <sz val="11"/>
        <color theme="1"/>
        <rFont val="Arial"/>
        <family val="2"/>
      </rPr>
      <t>CME: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Minas e Energia</t>
    </r>
  </si>
  <si>
    <r>
      <rPr>
        <b/>
        <sz val="11"/>
        <color theme="1"/>
        <rFont val="Arial"/>
        <family val="2"/>
      </rPr>
      <t>CVT: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Viação e Transportes</t>
    </r>
  </si>
  <si>
    <t>CREDN, CASP, CDC, CAPOT, CCDD</t>
  </si>
  <si>
    <r>
      <rPr>
        <b/>
        <sz val="11"/>
        <color theme="1"/>
        <rFont val="Arial"/>
        <family val="2"/>
      </rPr>
      <t xml:space="preserve">CREDN: </t>
    </r>
    <r>
      <rPr>
        <sz val="12"/>
        <color rgb="FF363636"/>
        <rFont val="Arial"/>
        <family val="2"/>
      </rPr>
      <t>Comissão de Relações Exteriores e de Defesa Nacional</t>
    </r>
  </si>
  <si>
    <t>CTRAB, CASP, CDE</t>
  </si>
  <si>
    <r>
      <rPr>
        <b/>
        <sz val="11"/>
        <color theme="1"/>
        <rFont val="Arial"/>
        <family val="2"/>
      </rPr>
      <t xml:space="preserve">CTRAB: </t>
    </r>
    <r>
      <rPr>
        <sz val="12"/>
        <color rgb="FF363636"/>
        <rFont val="Arial"/>
        <family val="2"/>
      </rPr>
      <t>Comissão de Trabalho</t>
    </r>
  </si>
  <si>
    <r>
      <rPr>
        <b/>
        <sz val="11"/>
        <color theme="1"/>
        <rFont val="Arial"/>
        <family val="2"/>
      </rPr>
      <t xml:space="preserve">CFT: </t>
    </r>
    <r>
      <rPr>
        <sz val="12"/>
        <color rgb="FF363636"/>
        <rFont val="Arial"/>
        <family val="2"/>
      </rPr>
      <t>Comissão de Finanças e Tributação</t>
    </r>
  </si>
  <si>
    <r>
      <rPr>
        <b/>
        <sz val="11"/>
        <color theme="1"/>
        <rFont val="Arial"/>
        <family val="2"/>
      </rPr>
      <t>CDDM: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Defesa dos Direitos da Mulher</t>
    </r>
  </si>
  <si>
    <r>
      <rPr>
        <b/>
        <sz val="11"/>
        <color theme="1"/>
        <rFont val="Arial"/>
        <family val="2"/>
      </rPr>
      <t xml:space="preserve">CE: </t>
    </r>
    <r>
      <rPr>
        <sz val="12"/>
        <color rgb="FF363636"/>
        <rFont val="Arial"/>
        <family val="2"/>
      </rPr>
      <t>Comissão de Educação</t>
    </r>
  </si>
  <si>
    <r>
      <rPr>
        <b/>
        <sz val="11"/>
        <color theme="1"/>
        <rFont val="Arial"/>
        <family val="2"/>
      </rPr>
      <t>CMADS: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Meio Ambiente e Desenvolvimento Sustentável</t>
    </r>
  </si>
  <si>
    <r>
      <rPr>
        <b/>
        <sz val="11"/>
        <color theme="1"/>
        <rFont val="Arial"/>
        <family val="2"/>
      </rPr>
      <t xml:space="preserve">CASP: </t>
    </r>
    <r>
      <rPr>
        <sz val="12"/>
        <color rgb="FF363636"/>
        <rFont val="Arial"/>
        <family val="2"/>
      </rPr>
      <t>Comissão de Administração e Serviço Público</t>
    </r>
  </si>
  <si>
    <r>
      <rPr>
        <b/>
        <sz val="11"/>
        <color theme="1"/>
        <rFont val="Arial"/>
        <family val="2"/>
      </rPr>
      <t>CDDPD</t>
    </r>
    <r>
      <rPr>
        <sz val="11"/>
        <color theme="1"/>
        <rFont val="Arial"/>
        <family val="2"/>
      </rPr>
      <t xml:space="preserve">: </t>
    </r>
    <r>
      <rPr>
        <sz val="12"/>
        <color rgb="FF363636"/>
        <rFont val="Arial"/>
        <family val="2"/>
      </rPr>
      <t>Comissão de Defesa dos Direitos das Pessoas com Deficiência</t>
    </r>
  </si>
  <si>
    <r>
      <rPr>
        <b/>
        <sz val="11"/>
        <color theme="1"/>
        <rFont val="Arial"/>
        <family val="2"/>
      </rPr>
      <t xml:space="preserve">CDC: </t>
    </r>
    <r>
      <rPr>
        <sz val="12"/>
        <color rgb="FF363636"/>
        <rFont val="Arial"/>
        <family val="2"/>
      </rPr>
      <t>Comissão de Defesa do Consumidor</t>
    </r>
  </si>
  <si>
    <r>
      <rPr>
        <b/>
        <sz val="11"/>
        <color theme="1"/>
        <rFont val="Arial"/>
        <family val="2"/>
      </rPr>
      <t>CAPOT: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da Amazônia e dos Povos Originários e Tradicionais</t>
    </r>
  </si>
  <si>
    <r>
      <rPr>
        <b/>
        <sz val="11"/>
        <color theme="1"/>
        <rFont val="Arial"/>
        <family val="2"/>
      </rPr>
      <t xml:space="preserve">CAPADR: </t>
    </r>
    <r>
      <rPr>
        <sz val="12"/>
        <color rgb="FF363636"/>
        <rFont val="Arial"/>
        <family val="2"/>
      </rPr>
      <t>Comissão de Agricultura, Pecuária, Abastecimento e Desenvolvimento Rural</t>
    </r>
  </si>
  <si>
    <r>
      <t xml:space="preserve">CDE: </t>
    </r>
    <r>
      <rPr>
        <sz val="12"/>
        <color rgb="FF363636"/>
        <rFont val="Arial"/>
        <family val="2"/>
      </rPr>
      <t>Comissão de Desenvolvimento Econômico</t>
    </r>
  </si>
  <si>
    <r>
      <rPr>
        <b/>
        <sz val="11"/>
        <color theme="1"/>
        <rFont val="Arial"/>
        <family val="2"/>
      </rPr>
      <t>CC: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Cultura</t>
    </r>
  </si>
  <si>
    <r>
      <rPr>
        <b/>
        <sz val="11"/>
        <color theme="1"/>
        <rFont val="Arial"/>
        <family val="2"/>
      </rPr>
      <t xml:space="preserve">CTI: </t>
    </r>
    <r>
      <rPr>
        <sz val="12"/>
        <color rgb="FF363636"/>
        <rFont val="Arial"/>
        <family val="2"/>
      </rPr>
      <t>Comissão de Ciência, Tecnologia e Inovação</t>
    </r>
  </si>
  <si>
    <r>
      <rPr>
        <b/>
        <sz val="11"/>
        <color theme="1"/>
        <rFont val="Arial"/>
        <family val="2"/>
      </rPr>
      <t xml:space="preserve">CPASF: </t>
    </r>
    <r>
      <rPr>
        <sz val="12"/>
        <color rgb="FF363636"/>
        <rFont val="Arial"/>
        <family val="2"/>
      </rPr>
      <t>Comissão de Previdência, Assistência Social, Infância, Adolescência e Família</t>
    </r>
  </si>
  <si>
    <r>
      <rPr>
        <b/>
        <sz val="11"/>
        <color theme="1"/>
        <rFont val="Arial"/>
        <family val="2"/>
      </rPr>
      <t xml:space="preserve">Cesporte: </t>
    </r>
    <r>
      <rPr>
        <sz val="12"/>
        <color rgb="FF363636"/>
        <rFont val="Arial"/>
        <family val="2"/>
      </rPr>
      <t>Comissão do Esporte</t>
    </r>
  </si>
  <si>
    <r>
      <rPr>
        <b/>
        <sz val="12"/>
        <color rgb="FF363636"/>
        <rFont val="Arial"/>
        <family val="2"/>
      </rPr>
      <t xml:space="preserve">CFFC: </t>
    </r>
    <r>
      <rPr>
        <sz val="12"/>
        <color rgb="FF363636"/>
        <rFont val="Arial"/>
        <family val="2"/>
      </rPr>
      <t>Comissão de Fiscalização Financeira e Controle</t>
    </r>
  </si>
  <si>
    <r>
      <rPr>
        <b/>
        <sz val="11"/>
        <color theme="1"/>
        <rFont val="Arial"/>
        <family val="2"/>
      </rPr>
      <t xml:space="preserve">CT: </t>
    </r>
    <r>
      <rPr>
        <sz val="12"/>
        <color rgb="FF363636"/>
        <rFont val="Arial"/>
        <family val="2"/>
      </rPr>
      <t>Comissão de Turismo</t>
    </r>
  </si>
  <si>
    <r>
      <rPr>
        <b/>
        <sz val="11"/>
        <color theme="1"/>
        <rFont val="Arial"/>
        <family val="2"/>
      </rPr>
      <t xml:space="preserve">CDU: </t>
    </r>
    <r>
      <rPr>
        <sz val="12"/>
        <color rgb="FF363636"/>
        <rFont val="Arial"/>
        <family val="2"/>
      </rPr>
      <t>Comissão de Desenvolvimento Urbano</t>
    </r>
  </si>
  <si>
    <r>
      <rPr>
        <b/>
        <sz val="11"/>
        <color theme="1"/>
        <rFont val="Arial"/>
        <family val="2"/>
      </rPr>
      <t>Cidoso:</t>
    </r>
    <r>
      <rPr>
        <sz val="11"/>
        <color theme="1"/>
        <rFont val="Arial"/>
        <family val="2"/>
      </rPr>
      <t xml:space="preserve"> </t>
    </r>
    <r>
      <rPr>
        <sz val="12"/>
        <color rgb="FF363636"/>
        <rFont val="Arial"/>
        <family val="2"/>
      </rPr>
      <t>Comissão de Defesa dos Direitos da Pessoa Idosa</t>
    </r>
  </si>
  <si>
    <r>
      <rPr>
        <b/>
        <sz val="11"/>
        <color theme="1"/>
        <rFont val="Arial"/>
        <family val="2"/>
      </rPr>
      <t xml:space="preserve">CICS: </t>
    </r>
    <r>
      <rPr>
        <sz val="12"/>
        <color rgb="FF363636"/>
        <rFont val="Arial"/>
        <family val="2"/>
      </rPr>
      <t>Comissão de Indústria, Comércio e Serviços</t>
    </r>
  </si>
  <si>
    <r>
      <rPr>
        <b/>
        <sz val="11"/>
        <color theme="1"/>
        <rFont val="Arial"/>
        <family val="2"/>
      </rPr>
      <t xml:space="preserve">Cindre: </t>
    </r>
    <r>
      <rPr>
        <sz val="12"/>
        <color rgb="FF363636"/>
        <rFont val="Arial"/>
        <family val="2"/>
      </rPr>
      <t>Comissão de Integração Nacional e Desenvolvimento Regional</t>
    </r>
  </si>
  <si>
    <t>Demais Comissões:</t>
  </si>
  <si>
    <t xml:space="preserve"> Proteção e Defesa Civil </t>
  </si>
  <si>
    <t>Área Técnica</t>
  </si>
  <si>
    <t>Projeto</t>
  </si>
  <si>
    <t>Ementa</t>
  </si>
  <si>
    <t>Atual comissão</t>
  </si>
  <si>
    <t>Posicionamento da área técnica</t>
  </si>
  <si>
    <t>Há parecer elaborado?</t>
  </si>
  <si>
    <t>Sim</t>
  </si>
  <si>
    <t>Não</t>
  </si>
  <si>
    <t>Em andamento</t>
  </si>
  <si>
    <t>Favorável</t>
  </si>
  <si>
    <t>Desfavorável</t>
  </si>
  <si>
    <t>Indiferente</t>
  </si>
  <si>
    <t>Sugestão de emenda</t>
  </si>
  <si>
    <t>Central de Dados</t>
  </si>
  <si>
    <t>Assistência Social</t>
  </si>
  <si>
    <t>Consórcios Públicos</t>
  </si>
  <si>
    <t>Contabilidade</t>
  </si>
  <si>
    <t>Cultura</t>
  </si>
  <si>
    <t>Desenvolvimento Rural</t>
  </si>
  <si>
    <t>Educação</t>
  </si>
  <si>
    <t>Estudos Técnicos</t>
  </si>
  <si>
    <t>Finanças</t>
  </si>
  <si>
    <t>Jurídico</t>
  </si>
  <si>
    <t>Meio Ambiente</t>
  </si>
  <si>
    <t>Mulheres</t>
  </si>
  <si>
    <t>Orçamento</t>
  </si>
  <si>
    <t>Planejamento Territorial e Habitação</t>
  </si>
  <si>
    <t>Previdência</t>
  </si>
  <si>
    <t>Proteção e Defesa Civil</t>
  </si>
  <si>
    <t>Saneamento</t>
  </si>
  <si>
    <t>Saúde</t>
  </si>
  <si>
    <t>Segurança Pública</t>
  </si>
  <si>
    <t>Transporte e Mobilidade</t>
  </si>
  <si>
    <t>Turismo</t>
  </si>
  <si>
    <t>Planej. Territ.  e Habitação</t>
  </si>
  <si>
    <t>Obras e Transf. da União</t>
  </si>
  <si>
    <t xml:space="preserve">Área Técnica </t>
  </si>
  <si>
    <t>Total Geral</t>
  </si>
  <si>
    <t>Responsável</t>
  </si>
  <si>
    <t>Área</t>
  </si>
  <si>
    <t>Parecer</t>
  </si>
  <si>
    <t>Emenda</t>
  </si>
  <si>
    <t>Posicionamento</t>
  </si>
  <si>
    <t>CTAT</t>
  </si>
  <si>
    <t>Assistencia Social</t>
  </si>
  <si>
    <t>MMM</t>
  </si>
  <si>
    <t>Contabilidade Pública</t>
  </si>
  <si>
    <t>Juridico Técnico</t>
  </si>
  <si>
    <t>Sustentabilidade</t>
  </si>
  <si>
    <t>Obras, Transferências e Parcerias</t>
  </si>
  <si>
    <t>Contabilidade e Orçamento</t>
  </si>
  <si>
    <t>Defesa Civil</t>
  </si>
  <si>
    <t>Finanças e Tributação</t>
  </si>
  <si>
    <t>Consórcios</t>
  </si>
  <si>
    <t>#</t>
  </si>
  <si>
    <t>Diversos</t>
  </si>
  <si>
    <t>Alessandra Ferreira (Colaborador)</t>
  </si>
  <si>
    <t>Alex Carneiro (Colaborador)</t>
  </si>
  <si>
    <t>Ana Clara Elias (Colaborador)</t>
  </si>
  <si>
    <t>Aquila Ferreira (Colaborador)</t>
  </si>
  <si>
    <t>Arthur Trindade (Consultor)</t>
  </si>
  <si>
    <t>Augusto Fortunato (Colaborador)</t>
  </si>
  <si>
    <t>Beatriz Silva (Colaborador)</t>
  </si>
  <si>
    <t>Brunno Trindade (Colaborador)</t>
  </si>
  <si>
    <t>Carlos Silva  (Colaborador)</t>
  </si>
  <si>
    <t>Caroline Hoss (Consultor)</t>
  </si>
  <si>
    <t>Cláudia Lima (Colaborador)</t>
  </si>
  <si>
    <t>Cleide Pompermaier (Consultor)</t>
  </si>
  <si>
    <t>Dayane Santos (Colaborador)</t>
  </si>
  <si>
    <t>Denilson Magalhães (Consultor)</t>
  </si>
  <si>
    <t>Eduardo Santana (Colaborador)</t>
  </si>
  <si>
    <t>Eduardo Stranz (Consultor)</t>
  </si>
  <si>
    <t>Elena Garrido (Consultor)</t>
  </si>
  <si>
    <t>Eliane Henriques (Colaborador)</t>
  </si>
  <si>
    <t>Elisa Schoenell (Consultor)</t>
  </si>
  <si>
    <t>Elisângela Fernandes (Consultor)</t>
  </si>
  <si>
    <t>Eudes Sippel (Consultor)</t>
  </si>
  <si>
    <t>Eugênio Greggianin (Consultor)</t>
  </si>
  <si>
    <t>Fernanda Fernandes (Consultor)</t>
  </si>
  <si>
    <t>Filipe Landim (Colaborador)</t>
  </si>
  <si>
    <t>Flavia Salvador (Colaborador)</t>
  </si>
  <si>
    <t>Gil Castello Branco (Consultor)</t>
  </si>
  <si>
    <t>Guilherme Krieger (Consultor)</t>
  </si>
  <si>
    <t>Hernany Reis (Colaborador)</t>
  </si>
  <si>
    <t>Hilton Silva (Colaborador)</t>
  </si>
  <si>
    <t>Ingrid Lima (Colaborador)</t>
  </si>
  <si>
    <t>Jaqueline Silva (Colaborador)</t>
  </si>
  <si>
    <t>Joanni Henrichs (Consultor)</t>
  </si>
  <si>
    <t>João de Sá (Colaborador)</t>
  </si>
  <si>
    <t>Johnny Liberato (Colaborador)</t>
  </si>
  <si>
    <t>Jordan Cabral (Colaborador)</t>
  </si>
  <si>
    <t>Karla França (Colaborador)</t>
  </si>
  <si>
    <t>Leonardo Rolim (Consultor)</t>
  </si>
  <si>
    <t>Leyliane Sena (Colaborador)</t>
  </si>
  <si>
    <t>Lorranny Xavier (Colaborador)</t>
  </si>
  <si>
    <t>Luan Guerson (Colaborador)</t>
  </si>
  <si>
    <t>Lucas Silva (Colaborador)</t>
  </si>
  <si>
    <t>Marcus Santos (Colaborador)</t>
  </si>
  <si>
    <t>Mário Nascimento (Consultor)</t>
  </si>
  <si>
    <t>Mário Rattes (Consultor)</t>
  </si>
  <si>
    <t>Mariza Abreu (Consultor)</t>
  </si>
  <si>
    <t>Marta Rodrigues (Colaborador)</t>
  </si>
  <si>
    <t>Martin Haeberlin (Consultor)</t>
  </si>
  <si>
    <t>Martin Schulze (Consultor)</t>
  </si>
  <si>
    <t>Max Aroldi (Consultor)</t>
  </si>
  <si>
    <t>Michelle Paionk (Colaborador)</t>
  </si>
  <si>
    <t>Midya Souza (Colaborador)</t>
  </si>
  <si>
    <t>Mônica Costa (Colaborador)</t>
  </si>
  <si>
    <t>Nancy Ramos (Consultor)</t>
  </si>
  <si>
    <t>Natasha Comassetto (Consultor)</t>
  </si>
  <si>
    <t>Osni Rocha (Colaborador)</t>
  </si>
  <si>
    <t>Pamela Santos (Colaborador)</t>
  </si>
  <si>
    <t>Paulo Caliendo (Consultor)</t>
  </si>
  <si>
    <t>Pedro Passos (Consultor)</t>
  </si>
  <si>
    <t>Priscila Kaiser (Consultor)</t>
  </si>
  <si>
    <t>Rafael Correa (Consultor)</t>
  </si>
  <si>
    <t>Raquel Silva (Colaborador)</t>
  </si>
  <si>
    <t>Renan Rocha (Colaborador)</t>
  </si>
  <si>
    <t>Ricardo Hermany (Consultor)</t>
  </si>
  <si>
    <t>Rita Bartole (Colaborador)</t>
  </si>
  <si>
    <t>Roberto Siegmann (Consultor)</t>
  </si>
  <si>
    <t>Rodrigo Dias (Colaborador)</t>
  </si>
  <si>
    <t>Rosângela Ribeiro (Consultor)</t>
  </si>
  <si>
    <t>Sabrina Souza (Consultor)</t>
  </si>
  <si>
    <t>Sandoval Neto (Colaborador)</t>
  </si>
  <si>
    <t>Sérgio Gobetti (Consultor)</t>
  </si>
  <si>
    <t>Simone Macedo (Consultor)</t>
  </si>
  <si>
    <t>Thais Lima Mendes (Colaborador)</t>
  </si>
  <si>
    <t>Thiago Oliveira (Colaborador)</t>
  </si>
  <si>
    <t>Valdery Brito (Consultor)</t>
  </si>
  <si>
    <t>Valtuir Nunes (Consultor)</t>
  </si>
  <si>
    <t>Vinicius Almeida (Colaborador)</t>
  </si>
  <si>
    <t>Vitória Jadallah (Colaborador)</t>
  </si>
  <si>
    <t>Wanderson Rocha (Colaborador)</t>
  </si>
  <si>
    <t>Zacarias Sousa (Colaborador)</t>
  </si>
  <si>
    <t>Zuilla Lima (Colaborador)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</si>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</sst>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2"/>
      <color rgb="FF363636"/>
      <name val="Segoe UI"/>
      <family val="2"/>
    </font>
    <font>
      <sz val="12"/>
      <color rgb="FF363636"/>
      <name val="Segoe U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363636"/>
      <name val="Arial"/>
      <family val="2"/>
    </font>
    <font>
      <b/>
      <sz val="11"/>
      <color rgb="FF363636"/>
      <name val="Arial"/>
      <family val="2"/>
    </font>
    <font>
      <sz val="11"/>
      <color rgb="FF363636"/>
      <name val="Arial"/>
      <family val="2"/>
    </font>
    <font>
      <b/>
      <sz val="12"/>
      <color rgb="FF363636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9580FCD3-DB4B-44E0-A8FD-415FFB7E7E29}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36B1A0C-B6AE-48BC-9A7D-C5182E9D54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07/relationships/slicerCache" Target="slicerCaches/slicerCache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10" Type="http://schemas.microsoft.com/office/2007/relationships/slicerCache" Target="slicerCaches/slicerCache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microsoft.com/office/2007/relationships/slicerCache" Target="slicerCaches/slicerCache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0</xdr:col>
      <xdr:colOff>2247901</xdr:colOff>
      <xdr:row>28</xdr:row>
      <xdr:rowOff>66000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Área Técnica 1">
              <a:extLst>
                <a:ext uri="{FF2B5EF4-FFF2-40B4-BE49-F238E27FC236}">
                  <a16:creationId xmlns:a16="http://schemas.microsoft.com/office/drawing/2014/main" id="{3BED13E0-EA5A-80CD-6524-7DE4E85CC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Técni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2247900" cy="54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4419600</xdr:colOff>
      <xdr:row>0</xdr:row>
      <xdr:rowOff>0</xdr:rowOff>
    </xdr:from>
    <xdr:to>
      <xdr:col>1</xdr:col>
      <xdr:colOff>9525</xdr:colOff>
      <xdr:row>6</xdr:row>
      <xdr:rowOff>117000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Há parecer elaborado? 1">
              <a:extLst>
                <a:ext uri="{FF2B5EF4-FFF2-40B4-BE49-F238E27FC236}">
                  <a16:creationId xmlns:a16="http://schemas.microsoft.com/office/drawing/2014/main" id="{0540BC0C-9A2A-99D4-2B8D-0A1E3A2DCD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á parecer elaborado?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0"/>
              <a:ext cx="1828800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4419600</xdr:colOff>
      <xdr:row>6</xdr:row>
      <xdr:rowOff>133350</xdr:rowOff>
    </xdr:from>
    <xdr:to>
      <xdr:col>1</xdr:col>
      <xdr:colOff>9525</xdr:colOff>
      <xdr:row>13</xdr:row>
      <xdr:rowOff>59850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gestão de emenda 1">
              <a:extLst>
                <a:ext uri="{FF2B5EF4-FFF2-40B4-BE49-F238E27FC236}">
                  <a16:creationId xmlns:a16="http://schemas.microsoft.com/office/drawing/2014/main" id="{4EE77311-6926-04C0-99CB-8D690C479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gestão de emen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1276350"/>
              <a:ext cx="1828800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4419600</xdr:colOff>
      <xdr:row>13</xdr:row>
      <xdr:rowOff>76200</xdr:rowOff>
    </xdr:from>
    <xdr:to>
      <xdr:col>1</xdr:col>
      <xdr:colOff>9525</xdr:colOff>
      <xdr:row>20</xdr:row>
      <xdr:rowOff>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osicionamento da área técnica 1">
              <a:extLst>
                <a:ext uri="{FF2B5EF4-FFF2-40B4-BE49-F238E27FC236}">
                  <a16:creationId xmlns:a16="http://schemas.microsoft.com/office/drawing/2014/main" id="{FA603F02-30D1-DEA4-FA68-1B57FF2E0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cionamento da área técni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2552700"/>
              <a:ext cx="1828800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2266950</xdr:colOff>
      <xdr:row>0</xdr:row>
      <xdr:rowOff>0</xdr:rowOff>
    </xdr:from>
    <xdr:to>
      <xdr:col>0</xdr:col>
      <xdr:colOff>4410075</xdr:colOff>
      <xdr:row>28</xdr:row>
      <xdr:rowOff>66000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sponsável">
              <a:extLst>
                <a:ext uri="{FF2B5EF4-FFF2-40B4-BE49-F238E27FC236}">
                  <a16:creationId xmlns:a16="http://schemas.microsoft.com/office/drawing/2014/main" id="{5D5C07C7-6DAE-60A0-FDFA-340C235BC4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á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6950" y="0"/>
              <a:ext cx="2143125" cy="54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3</xdr:col>
      <xdr:colOff>1085850</xdr:colOff>
      <xdr:row>2</xdr:row>
      <xdr:rowOff>151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Área Técnica">
              <a:extLst>
                <a:ext uri="{FF2B5EF4-FFF2-40B4-BE49-F238E27FC236}">
                  <a16:creationId xmlns:a16="http://schemas.microsoft.com/office/drawing/2014/main" id="{6C8834F6-8787-DDCC-BB4C-77C705CB75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Técn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6305550" cy="12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1104900</xdr:colOff>
      <xdr:row>0</xdr:row>
      <xdr:rowOff>0</xdr:rowOff>
    </xdr:from>
    <xdr:to>
      <xdr:col>4</xdr:col>
      <xdr:colOff>1476375</xdr:colOff>
      <xdr:row>2</xdr:row>
      <xdr:rowOff>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Há parecer elaborado?">
              <a:extLst>
                <a:ext uri="{FF2B5EF4-FFF2-40B4-BE49-F238E27FC236}">
                  <a16:creationId xmlns:a16="http://schemas.microsoft.com/office/drawing/2014/main" id="{D30059CB-2810-63DE-A080-5FF2ED907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á parecer elaborado?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0"/>
              <a:ext cx="1828800" cy="12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1428750</xdr:colOff>
      <xdr:row>0</xdr:row>
      <xdr:rowOff>0</xdr:rowOff>
    </xdr:from>
    <xdr:to>
      <xdr:col>5</xdr:col>
      <xdr:colOff>1371600</xdr:colOff>
      <xdr:row>2</xdr:row>
      <xdr:rowOff>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Sugestão de emenda">
              <a:extLst>
                <a:ext uri="{FF2B5EF4-FFF2-40B4-BE49-F238E27FC236}">
                  <a16:creationId xmlns:a16="http://schemas.microsoft.com/office/drawing/2014/main" id="{DFAE118B-4C54-972D-A88D-87555B4132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gestão de em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5775" y="0"/>
              <a:ext cx="1828800" cy="12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1381125</xdr:colOff>
      <xdr:row>0</xdr:row>
      <xdr:rowOff>0</xdr:rowOff>
    </xdr:from>
    <xdr:to>
      <xdr:col>6</xdr:col>
      <xdr:colOff>1247775</xdr:colOff>
      <xdr:row>2</xdr:row>
      <xdr:rowOff>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Posicionamento da área técnica">
              <a:extLst>
                <a:ext uri="{FF2B5EF4-FFF2-40B4-BE49-F238E27FC236}">
                  <a16:creationId xmlns:a16="http://schemas.microsoft.com/office/drawing/2014/main" id="{8584F618-0D5F-A925-4F8F-CDB8F5FE71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cionamento da área técn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4100" y="0"/>
              <a:ext cx="1828800" cy="12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ícius Augusto de Almeida" refreshedDate="46248.743484953702" createdVersion="8" refreshedVersion="8" minRefreshableVersion="3" recordCount="200" xr:uid="{F274D085-AC42-4FCB-BDA2-29C6C78976D4}">
  <cacheSource type="worksheet">
    <worksheetSource name="Tabela1"/>
  </cacheSource>
  <cacheFields count="8">
    <cacheField name="Área Técnica" numFmtId="0">
      <sharedItems containsNonDate="0" containsBlank="1" count="23">
        <m/>
        <s v="Assistência Social" u="1"/>
        <s v="Estudos Técnicos" u="1"/>
        <s v="Educação" u="1"/>
        <s v="Turismo" u="1"/>
        <s v="Saúde" u="1"/>
        <s v="Previdência" u="1"/>
        <s v="Contabilidade" u="1"/>
        <s v="Central de Dados" u="1"/>
        <s v="Planej. Territ.  e Habitação" u="1"/>
        <s v="Jurídico" u="1"/>
        <s v="Orçamento" u="1"/>
        <s v="Consórcios Públicos" u="1"/>
        <s v="Saneamento" u="1"/>
        <s v="Desenvolvimento Rural" u="1"/>
        <s v="Meio Ambiente" u="1"/>
        <s v="Cultura" u="1"/>
        <s v="Finanças" u="1"/>
        <s v="Proteção e Defesa Civil" u="1"/>
        <s v="Segurança Pública" u="1"/>
        <s v="Obras e Transf. da União" u="1"/>
        <s v="Mulheres" u="1"/>
        <s v="Transporte e Mobilidade" u="1"/>
      </sharedItems>
    </cacheField>
    <cacheField name="Responsável" numFmtId="0">
      <sharedItems containsNonDate="0" containsBlank="1" count="77">
        <m/>
        <s v="Valtuir Nunes (Consultor)" u="1"/>
        <s v="Sabrina Souza (Consultor)" u="1"/>
        <s v="Lucas Silva (Colaborador)" u="1"/>
        <s v="Beatriz Silva (Colaborador)" u="1"/>
        <s v="Eduardo Stranz (Consultor)" u="1"/>
        <s v="João de Sá (Colaborador)" u="1"/>
        <s v="Paulo Caliendo (Consultor)" u="1"/>
        <s v="Martin Haeberlin (Consultor)" u="1"/>
        <s v="Renan Rocha (Colaborador)" u="1"/>
        <s v="Johnny Liberato (Colaborador)" u="1"/>
        <s v="Caroline Hoss (Consultor)" u="1"/>
        <s v="Eudes Sippel (Consultor)" u="1"/>
        <s v="Aquila Ferreira (Colaborador)" u="1"/>
        <s v="Leonardo Rolim (Consultor)" u="1"/>
        <s v="Gil Castello Branco (Consultor)" u="1"/>
        <s v="Anne Oliveira (Colaborador)" u="1"/>
        <s v="Alex Carneiro (Colaborador)" u="1"/>
        <s v="Rita Bartole (Colaborador)" u="1"/>
        <s v="Max Aroldi (Consultor)" u="1"/>
        <s v="Marta Rodrigues (Colaborador)" u="1"/>
        <s v="Jordan Cabral (Colaborador)" u="1"/>
        <s v="Rosângela Ribeiro (Consultor)" u="1"/>
        <s v="Carlos Silva  (Colaborador)" u="1"/>
        <s v="Rodrigo Barreto (Colaborador)" u="1"/>
        <s v="Michelle Paionk (Colaborador)" u="1"/>
        <s v="Emanuel Moreira (Colaborador)" u="1"/>
        <s v="Priscila Kaiser (Consultor)" u="1"/>
        <s v="Vinicius Almeida (Colaborador)" u="1"/>
        <s v="Gabriel Inácio (Colaborador)" u="1"/>
        <s v="Arthur Trindade (Consultor)" u="1"/>
        <s v="Zacarias Sousa (Colaborador)" u="1"/>
        <s v="Thais Lima Mendes (Colaborador)" u="1"/>
        <s v="Alessandra Ferreira (Colaborador)" u="1"/>
        <s v="Wanderson Rocha (Colaborador)" u="1"/>
        <s v="Midya Souza (Colaborador)" u="1"/>
        <s v="Osni Rocha (Colaborador)" u="1"/>
        <s v="Ingrid Lima (Colaborador)" u="1"/>
        <s v="Eugênio Greggianin (Consultor)" u="1"/>
        <s v="Mariza Abreu (Consultor)" u="1"/>
        <s v="Lorranny Xavier (Colaborador)" u="1"/>
        <s v="Ricardo Hermany (Consultor)" u="1"/>
        <s v="Mônica Costa (Colaborador)" u="1"/>
        <s v="Abimael Silva (Colaborador)" u="1"/>
        <s v="Sérgio Gobetti (Consultor)" u="1"/>
        <s v="Pamela Santos (Colaborador)" u="1"/>
        <s v="Simone Macedo (Consultor)" u="1"/>
        <s v="Eliane Henriques (Colaborador)" u="1"/>
        <s v="Valdery Brito (Consultor)" u="1"/>
        <s v="Thiago Oliveira (Colaborador)" u="1"/>
        <s v="Roberto Siegmann (Consultor)" u="1"/>
        <s v="Elena Garrido (Consultor)" u="1"/>
        <s v="Pedro Passos (Consultor)" u="1"/>
        <s v="Eduardo Santana (Colaborador)" u="1"/>
        <s v="Martin Schulze (Consultor)" u="1"/>
        <s v="Cláudia Lima (Colaborador)" u="1"/>
        <s v="Vitória Jadallah (Colaborador)" u="1"/>
        <s v="Luan Guerson (Colaborador)" u="1"/>
        <s v="Jaqueline Silva (Colaborador)" u="1"/>
        <s v="Filipe Landim (Colaborador)" u="1"/>
        <s v="Rodrigo Dias (Colaborador)" u="1"/>
        <s v="Denilson Magalhães (Consultor)" u="1"/>
        <s v="Elias Barruffe (Colaborador)" u="1"/>
        <s v="Brunno Trindade (Colaborador)" u="1"/>
        <s v="Karla França (Colaborador)" u="1"/>
        <s v="Nancy Ramos (Consultor)" u="1"/>
        <s v="Natasha Comassetto (Consultor)" u="1"/>
        <s v="Marcus Santos (Colaborador)" u="1"/>
        <s v="Yuly Teran (Colaborador)" u="1"/>
        <s v="Flavia Salvador (Colaborador)" u="1"/>
        <s v="Cleide Pompermaier (Consultor)" u="1"/>
        <s v="Mário Nascimento (Consultor)" u="1"/>
        <s v="Elisângela Fernandes (Consultor)" u="1"/>
        <s v="Dayane Santos (Colaborador)" u="1"/>
        <s v="Henrique Nascimento (Colaborador)" u="1"/>
        <s v="Hernany Reis (Colaborador)" u="1"/>
        <s v="Fernanda Fernandes (Consultor)" u="1"/>
      </sharedItems>
    </cacheField>
    <cacheField name="Projeto" numFmtId="0">
      <sharedItems containsNonDate="0" containsString="0" containsBlank="1"/>
    </cacheField>
    <cacheField name="Ementa" numFmtId="0">
      <sharedItems containsNonDate="0" containsString="0" containsBlank="1"/>
    </cacheField>
    <cacheField name="Atual comissão" numFmtId="0">
      <sharedItems containsNonDate="0" containsString="0" containsBlank="1"/>
    </cacheField>
    <cacheField name="Há parecer elaborado?" numFmtId="0">
      <sharedItems containsNonDate="0" containsBlank="1" count="4">
        <m/>
        <s v="Em andamento" u="1"/>
        <s v="Não" u="1"/>
        <s v="Sim" u="1"/>
      </sharedItems>
    </cacheField>
    <cacheField name="Sugestão de emenda" numFmtId="0">
      <sharedItems containsNonDate="0" containsBlank="1" count="3">
        <m/>
        <s v="Não" u="1"/>
        <s v="Sim" u="1"/>
      </sharedItems>
    </cacheField>
    <cacheField name="Posicionamento da área técnica" numFmtId="0">
      <sharedItems containsNonDate="0" containsBlank="1" count="4">
        <m/>
        <s v="Desfavorável" u="1"/>
        <s v="Indiferente" u="1"/>
        <s v="Favorável" u="1"/>
      </sharedItems>
    </cacheField>
  </cacheFields>
  <extLst>
    <ext xmlns:x14="http://schemas.microsoft.com/office/spreadsheetml/2009/9/main" uri="{725AE2AE-9491-48be-B2B4-4EB974FC3084}">
      <x14:pivotCacheDefinition pivotCacheId="1004924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  <r>
    <x v="0"/>
    <x v="0"/>
    <m/>
    <m/>
    <m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FFC87-3B05-4AB3-BCAE-645FC5F9F285}" name="Tabela dinâmica3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Parecer">
  <location ref="F1:G3" firstHeaderRow="1" firstDataRow="1" firstDataCol="1"/>
  <pivotFields count="8">
    <pivotField dataField="1" showAll="0">
      <items count="24">
        <item m="1" x="1"/>
        <item m="1" x="8"/>
        <item m="1" x="12"/>
        <item m="1" x="7"/>
        <item m="1" x="16"/>
        <item m="1" x="14"/>
        <item m="1" x="3"/>
        <item m="1" x="2"/>
        <item m="1" x="17"/>
        <item m="1" x="10"/>
        <item m="1" x="15"/>
        <item m="1" x="21"/>
        <item m="1" x="20"/>
        <item m="1" x="11"/>
        <item m="1" x="9"/>
        <item m="1" x="6"/>
        <item m="1" x="18"/>
        <item m="1" x="13"/>
        <item m="1" x="5"/>
        <item m="1" x="19"/>
        <item m="1" x="22"/>
        <item m="1" x="4"/>
        <item x="0"/>
        <item t="default"/>
      </items>
    </pivotField>
    <pivotField showAll="0">
      <items count="78">
        <item m="1" x="43"/>
        <item m="1" x="33"/>
        <item m="1" x="17"/>
        <item m="1" x="16"/>
        <item m="1" x="13"/>
        <item m="1" x="30"/>
        <item m="1" x="4"/>
        <item m="1" x="63"/>
        <item m="1" x="23"/>
        <item m="1" x="11"/>
        <item m="1" x="55"/>
        <item m="1" x="70"/>
        <item m="1" x="73"/>
        <item m="1" x="61"/>
        <item m="1" x="53"/>
        <item m="1" x="5"/>
        <item m="1" x="51"/>
        <item m="1" x="47"/>
        <item m="1" x="62"/>
        <item m="1" x="72"/>
        <item m="1" x="26"/>
        <item m="1" x="12"/>
        <item m="1" x="38"/>
        <item m="1" x="76"/>
        <item m="1" x="59"/>
        <item m="1" x="69"/>
        <item m="1" x="29"/>
        <item m="1" x="15"/>
        <item m="1" x="74"/>
        <item m="1" x="75"/>
        <item m="1" x="37"/>
        <item m="1" x="58"/>
        <item m="1" x="6"/>
        <item m="1" x="10"/>
        <item m="1" x="21"/>
        <item m="1" x="64"/>
        <item m="1" x="14"/>
        <item m="1" x="40"/>
        <item m="1" x="57"/>
        <item m="1" x="3"/>
        <item m="1" x="67"/>
        <item m="1" x="71"/>
        <item m="1" x="39"/>
        <item m="1" x="20"/>
        <item m="1" x="8"/>
        <item m="1" x="54"/>
        <item m="1" x="19"/>
        <item m="1" x="25"/>
        <item m="1" x="35"/>
        <item m="1" x="42"/>
        <item m="1" x="65"/>
        <item m="1" x="66"/>
        <item m="1" x="36"/>
        <item m="1" x="45"/>
        <item m="1" x="7"/>
        <item m="1" x="52"/>
        <item m="1" x="27"/>
        <item m="1" x="9"/>
        <item m="1" x="41"/>
        <item m="1" x="18"/>
        <item m="1" x="50"/>
        <item m="1" x="24"/>
        <item m="1" x="60"/>
        <item m="1" x="22"/>
        <item m="1" x="2"/>
        <item m="1" x="44"/>
        <item m="1" x="46"/>
        <item m="1" x="32"/>
        <item m="1" x="49"/>
        <item m="1" x="48"/>
        <item m="1" x="1"/>
        <item m="1" x="28"/>
        <item m="1" x="56"/>
        <item m="1" x="34"/>
        <item m="1" x="68"/>
        <item m="1" x="31"/>
        <item x="0"/>
        <item t="default"/>
      </items>
    </pivotField>
    <pivotField showAll="0"/>
    <pivotField showAll="0"/>
    <pivotField showAll="0"/>
    <pivotField axis="axisRow" showAll="0">
      <items count="5">
        <item m="1" x="1"/>
        <item m="1" x="2"/>
        <item m="1" x="3"/>
        <item x="0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5">
        <item m="1" x="1"/>
        <item m="1" x="3"/>
        <item m="1" x="2"/>
        <item x="0"/>
        <item t="default"/>
      </items>
    </pivotField>
  </pivotFields>
  <rowFields count="1">
    <field x="5"/>
  </rowFields>
  <rowItems count="2">
    <i>
      <x v="3"/>
    </i>
    <i t="grand">
      <x/>
    </i>
  </rowItems>
  <colItems count="1">
    <i/>
  </colItems>
  <dataFields count="1">
    <dataField name="Área Técnica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ACB12-4A33-4A9F-9B92-486D0C9D5064}" name="Tabela dinâmica2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Área">
  <location ref="C1:D3" firstHeaderRow="1" firstDataRow="1" firstDataCol="1"/>
  <pivotFields count="8">
    <pivotField axis="axisRow" dataField="1" showAll="0">
      <items count="24">
        <item m="1" x="1"/>
        <item m="1" x="8"/>
        <item m="1" x="12"/>
        <item m="1" x="7"/>
        <item m="1" x="16"/>
        <item m="1" x="14"/>
        <item m="1" x="3"/>
        <item m="1" x="2"/>
        <item m="1" x="17"/>
        <item m="1" x="10"/>
        <item m="1" x="15"/>
        <item m="1" x="21"/>
        <item m="1" x="20"/>
        <item m="1" x="11"/>
        <item m="1" x="9"/>
        <item m="1" x="6"/>
        <item m="1" x="18"/>
        <item m="1" x="13"/>
        <item m="1" x="5"/>
        <item m="1" x="19"/>
        <item m="1" x="22"/>
        <item m="1" x="4"/>
        <item x="0"/>
        <item t="default"/>
      </items>
    </pivotField>
    <pivotField showAll="0">
      <items count="78">
        <item m="1" x="43"/>
        <item m="1" x="33"/>
        <item m="1" x="17"/>
        <item m="1" x="16"/>
        <item m="1" x="13"/>
        <item m="1" x="30"/>
        <item m="1" x="4"/>
        <item m="1" x="63"/>
        <item m="1" x="23"/>
        <item m="1" x="11"/>
        <item m="1" x="55"/>
        <item m="1" x="70"/>
        <item m="1" x="73"/>
        <item m="1" x="61"/>
        <item m="1" x="53"/>
        <item m="1" x="5"/>
        <item m="1" x="51"/>
        <item m="1" x="47"/>
        <item m="1" x="62"/>
        <item m="1" x="72"/>
        <item m="1" x="26"/>
        <item m="1" x="12"/>
        <item m="1" x="38"/>
        <item m="1" x="76"/>
        <item m="1" x="59"/>
        <item m="1" x="69"/>
        <item m="1" x="29"/>
        <item m="1" x="15"/>
        <item m="1" x="74"/>
        <item m="1" x="75"/>
        <item m="1" x="37"/>
        <item m="1" x="58"/>
        <item m="1" x="6"/>
        <item m="1" x="10"/>
        <item m="1" x="21"/>
        <item m="1" x="64"/>
        <item m="1" x="14"/>
        <item m="1" x="40"/>
        <item m="1" x="57"/>
        <item m="1" x="3"/>
        <item m="1" x="67"/>
        <item m="1" x="71"/>
        <item m="1" x="39"/>
        <item m="1" x="20"/>
        <item m="1" x="8"/>
        <item m="1" x="54"/>
        <item m="1" x="19"/>
        <item m="1" x="25"/>
        <item m="1" x="35"/>
        <item m="1" x="42"/>
        <item m="1" x="65"/>
        <item m="1" x="66"/>
        <item m="1" x="36"/>
        <item m="1" x="45"/>
        <item m="1" x="7"/>
        <item m="1" x="52"/>
        <item m="1" x="27"/>
        <item m="1" x="9"/>
        <item m="1" x="41"/>
        <item m="1" x="18"/>
        <item m="1" x="50"/>
        <item m="1" x="24"/>
        <item m="1" x="60"/>
        <item m="1" x="22"/>
        <item m="1" x="2"/>
        <item m="1" x="44"/>
        <item m="1" x="46"/>
        <item m="1" x="32"/>
        <item m="1" x="49"/>
        <item m="1" x="48"/>
        <item m="1" x="1"/>
        <item m="1" x="28"/>
        <item m="1" x="56"/>
        <item m="1" x="34"/>
        <item m="1" x="68"/>
        <item m="1" x="31"/>
        <item x="0"/>
        <item t="default"/>
      </items>
    </pivotField>
    <pivotField showAll="0"/>
    <pivotField showAll="0"/>
    <pivotField showAll="0"/>
    <pivotField showAll="0">
      <items count="5">
        <item m="1" x="1"/>
        <item m="1" x="2"/>
        <item m="1" x="3"/>
        <item x="0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5">
        <item m="1" x="1"/>
        <item m="1" x="3"/>
        <item m="1" x="2"/>
        <item x="0"/>
        <item t="default"/>
      </items>
    </pivotField>
  </pivotFields>
  <rowFields count="1">
    <field x="0"/>
  </rowFields>
  <rowItems count="2">
    <i>
      <x v="22"/>
    </i>
    <i t="grand">
      <x/>
    </i>
  </rowItems>
  <colItems count="1">
    <i/>
  </colItems>
  <dataFields count="1">
    <dataField name="Área Técnica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45763-0031-4661-9B37-217C24C1B2BE}" name="Tabela dinâmica1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:A3" firstHeaderRow="1" firstDataRow="1" firstDataCol="0"/>
  <pivotFields count="8">
    <pivotField dataField="1" showAll="0">
      <items count="24">
        <item m="1" x="1"/>
        <item m="1" x="8"/>
        <item m="1" x="12"/>
        <item m="1" x="7"/>
        <item m="1" x="16"/>
        <item m="1" x="14"/>
        <item m="1" x="3"/>
        <item m="1" x="2"/>
        <item m="1" x="17"/>
        <item m="1" x="10"/>
        <item m="1" x="15"/>
        <item m="1" x="21"/>
        <item m="1" x="20"/>
        <item m="1" x="11"/>
        <item m="1" x="9"/>
        <item m="1" x="6"/>
        <item m="1" x="18"/>
        <item m="1" x="13"/>
        <item m="1" x="5"/>
        <item m="1" x="19"/>
        <item m="1" x="22"/>
        <item m="1" x="4"/>
        <item x="0"/>
        <item t="default"/>
      </items>
    </pivotField>
    <pivotField showAll="0">
      <items count="78">
        <item m="1" x="43"/>
        <item m="1" x="33"/>
        <item m="1" x="17"/>
        <item m="1" x="16"/>
        <item m="1" x="13"/>
        <item m="1" x="30"/>
        <item m="1" x="4"/>
        <item m="1" x="63"/>
        <item m="1" x="23"/>
        <item m="1" x="11"/>
        <item m="1" x="55"/>
        <item m="1" x="70"/>
        <item m="1" x="73"/>
        <item m="1" x="61"/>
        <item m="1" x="53"/>
        <item m="1" x="5"/>
        <item m="1" x="51"/>
        <item m="1" x="47"/>
        <item m="1" x="62"/>
        <item m="1" x="72"/>
        <item m="1" x="26"/>
        <item m="1" x="12"/>
        <item m="1" x="38"/>
        <item m="1" x="76"/>
        <item m="1" x="59"/>
        <item m="1" x="69"/>
        <item m="1" x="29"/>
        <item m="1" x="15"/>
        <item m="1" x="74"/>
        <item m="1" x="75"/>
        <item m="1" x="37"/>
        <item m="1" x="58"/>
        <item m="1" x="6"/>
        <item m="1" x="10"/>
        <item m="1" x="21"/>
        <item m="1" x="64"/>
        <item m="1" x="14"/>
        <item m="1" x="40"/>
        <item m="1" x="57"/>
        <item m="1" x="3"/>
        <item m="1" x="67"/>
        <item m="1" x="71"/>
        <item m="1" x="39"/>
        <item m="1" x="20"/>
        <item m="1" x="8"/>
        <item m="1" x="54"/>
        <item m="1" x="19"/>
        <item m="1" x="25"/>
        <item m="1" x="35"/>
        <item m="1" x="42"/>
        <item m="1" x="65"/>
        <item m="1" x="66"/>
        <item m="1" x="36"/>
        <item m="1" x="45"/>
        <item m="1" x="7"/>
        <item m="1" x="52"/>
        <item m="1" x="27"/>
        <item m="1" x="9"/>
        <item m="1" x="41"/>
        <item m="1" x="18"/>
        <item m="1" x="50"/>
        <item m="1" x="24"/>
        <item m="1" x="60"/>
        <item m="1" x="22"/>
        <item m="1" x="2"/>
        <item m="1" x="44"/>
        <item m="1" x="46"/>
        <item m="1" x="32"/>
        <item m="1" x="49"/>
        <item m="1" x="48"/>
        <item m="1" x="1"/>
        <item m="1" x="28"/>
        <item m="1" x="56"/>
        <item m="1" x="34"/>
        <item m="1" x="68"/>
        <item m="1" x="31"/>
        <item x="0"/>
        <item t="default"/>
      </items>
    </pivotField>
    <pivotField showAll="0"/>
    <pivotField showAll="0"/>
    <pivotField showAll="0"/>
    <pivotField showAll="0">
      <items count="5">
        <item m="1" x="1"/>
        <item m="1" x="2"/>
        <item m="1" x="3"/>
        <item x="0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5">
        <item m="1" x="1"/>
        <item m="1" x="3"/>
        <item m="1" x="2"/>
        <item x="0"/>
        <item t="default"/>
      </items>
    </pivotField>
  </pivotFields>
  <rowItems count="1">
    <i/>
  </rowItems>
  <colItems count="1">
    <i/>
  </colItems>
  <dataFields count="1">
    <dataField name="Área Técnica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1451A-DC42-4D36-B5B5-9F2219C37CE4}" name="Tabela dinâmica5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Posicionamento">
  <location ref="F14:G16" firstHeaderRow="1" firstDataRow="1" firstDataCol="1"/>
  <pivotFields count="8">
    <pivotField dataField="1" showAll="0">
      <items count="24">
        <item m="1" x="1"/>
        <item m="1" x="8"/>
        <item m="1" x="12"/>
        <item m="1" x="7"/>
        <item m="1" x="16"/>
        <item m="1" x="14"/>
        <item m="1" x="3"/>
        <item m="1" x="2"/>
        <item m="1" x="17"/>
        <item m="1" x="10"/>
        <item m="1" x="15"/>
        <item m="1" x="21"/>
        <item m="1" x="20"/>
        <item m="1" x="11"/>
        <item m="1" x="9"/>
        <item m="1" x="6"/>
        <item m="1" x="18"/>
        <item m="1" x="13"/>
        <item m="1" x="5"/>
        <item m="1" x="19"/>
        <item m="1" x="22"/>
        <item m="1" x="4"/>
        <item x="0"/>
        <item t="default"/>
      </items>
    </pivotField>
    <pivotField showAll="0">
      <items count="78">
        <item m="1" x="43"/>
        <item m="1" x="33"/>
        <item m="1" x="17"/>
        <item m="1" x="16"/>
        <item m="1" x="13"/>
        <item m="1" x="30"/>
        <item m="1" x="4"/>
        <item m="1" x="63"/>
        <item m="1" x="23"/>
        <item m="1" x="11"/>
        <item m="1" x="55"/>
        <item m="1" x="70"/>
        <item m="1" x="73"/>
        <item m="1" x="61"/>
        <item m="1" x="53"/>
        <item m="1" x="5"/>
        <item m="1" x="51"/>
        <item m="1" x="47"/>
        <item m="1" x="62"/>
        <item m="1" x="72"/>
        <item m="1" x="26"/>
        <item m="1" x="12"/>
        <item m="1" x="38"/>
        <item m="1" x="76"/>
        <item m="1" x="59"/>
        <item m="1" x="69"/>
        <item m="1" x="29"/>
        <item m="1" x="15"/>
        <item m="1" x="74"/>
        <item m="1" x="75"/>
        <item m="1" x="37"/>
        <item m="1" x="58"/>
        <item m="1" x="6"/>
        <item m="1" x="10"/>
        <item m="1" x="21"/>
        <item m="1" x="64"/>
        <item m="1" x="14"/>
        <item m="1" x="40"/>
        <item m="1" x="57"/>
        <item m="1" x="3"/>
        <item m="1" x="67"/>
        <item m="1" x="71"/>
        <item m="1" x="39"/>
        <item m="1" x="20"/>
        <item m="1" x="8"/>
        <item m="1" x="54"/>
        <item m="1" x="19"/>
        <item m="1" x="25"/>
        <item m="1" x="35"/>
        <item m="1" x="42"/>
        <item m="1" x="65"/>
        <item m="1" x="66"/>
        <item m="1" x="36"/>
        <item m="1" x="45"/>
        <item m="1" x="7"/>
        <item m="1" x="52"/>
        <item m="1" x="27"/>
        <item m="1" x="9"/>
        <item m="1" x="41"/>
        <item m="1" x="18"/>
        <item m="1" x="50"/>
        <item m="1" x="24"/>
        <item m="1" x="60"/>
        <item m="1" x="22"/>
        <item m="1" x="2"/>
        <item m="1" x="44"/>
        <item m="1" x="46"/>
        <item m="1" x="32"/>
        <item m="1" x="49"/>
        <item m="1" x="48"/>
        <item m="1" x="1"/>
        <item m="1" x="28"/>
        <item m="1" x="56"/>
        <item m="1" x="34"/>
        <item m="1" x="68"/>
        <item m="1" x="31"/>
        <item x="0"/>
        <item t="default"/>
      </items>
    </pivotField>
    <pivotField showAll="0"/>
    <pivotField showAll="0"/>
    <pivotField showAll="0"/>
    <pivotField showAll="0">
      <items count="5">
        <item m="1" x="1"/>
        <item m="1" x="2"/>
        <item m="1" x="3"/>
        <item x="0"/>
        <item t="default"/>
      </items>
    </pivotField>
    <pivotField showAll="0">
      <items count="4">
        <item m="1" x="1"/>
        <item m="1" x="2"/>
        <item x="0"/>
        <item t="default"/>
      </items>
    </pivotField>
    <pivotField axis="axisRow" showAll="0">
      <items count="5">
        <item m="1" x="1"/>
        <item m="1" x="3"/>
        <item m="1" x="2"/>
        <item x="0"/>
        <item t="default"/>
      </items>
    </pivotField>
  </pivotFields>
  <rowFields count="1">
    <field x="7"/>
  </rowFields>
  <rowItems count="2">
    <i>
      <x v="3"/>
    </i>
    <i t="grand">
      <x/>
    </i>
  </rowItems>
  <colItems count="1">
    <i/>
  </colItems>
  <dataFields count="1">
    <dataField name="Área Técnica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E3B09-8A37-4FAC-BD56-5311D84C767E}" name="Tabela dinâmica4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Emenda">
  <location ref="F8:G10" firstHeaderRow="1" firstDataRow="1" firstDataCol="1"/>
  <pivotFields count="8">
    <pivotField dataField="1" showAll="0">
      <items count="24">
        <item m="1" x="1"/>
        <item m="1" x="8"/>
        <item m="1" x="12"/>
        <item m="1" x="7"/>
        <item m="1" x="16"/>
        <item m="1" x="14"/>
        <item m="1" x="3"/>
        <item m="1" x="2"/>
        <item m="1" x="17"/>
        <item m="1" x="10"/>
        <item m="1" x="15"/>
        <item m="1" x="21"/>
        <item m="1" x="20"/>
        <item m="1" x="11"/>
        <item m="1" x="9"/>
        <item m="1" x="6"/>
        <item m="1" x="18"/>
        <item m="1" x="13"/>
        <item m="1" x="5"/>
        <item m="1" x="19"/>
        <item m="1" x="22"/>
        <item m="1" x="4"/>
        <item x="0"/>
        <item t="default"/>
      </items>
    </pivotField>
    <pivotField showAll="0">
      <items count="78">
        <item m="1" x="43"/>
        <item m="1" x="33"/>
        <item m="1" x="17"/>
        <item m="1" x="16"/>
        <item m="1" x="13"/>
        <item m="1" x="30"/>
        <item m="1" x="4"/>
        <item m="1" x="63"/>
        <item m="1" x="23"/>
        <item m="1" x="11"/>
        <item m="1" x="55"/>
        <item m="1" x="70"/>
        <item m="1" x="73"/>
        <item m="1" x="61"/>
        <item m="1" x="53"/>
        <item m="1" x="5"/>
        <item m="1" x="51"/>
        <item m="1" x="47"/>
        <item m="1" x="62"/>
        <item m="1" x="72"/>
        <item m="1" x="26"/>
        <item m="1" x="12"/>
        <item m="1" x="38"/>
        <item m="1" x="76"/>
        <item m="1" x="59"/>
        <item m="1" x="69"/>
        <item m="1" x="29"/>
        <item m="1" x="15"/>
        <item m="1" x="74"/>
        <item m="1" x="75"/>
        <item m="1" x="37"/>
        <item m="1" x="58"/>
        <item m="1" x="6"/>
        <item m="1" x="10"/>
        <item m="1" x="21"/>
        <item m="1" x="64"/>
        <item m="1" x="14"/>
        <item m="1" x="40"/>
        <item m="1" x="57"/>
        <item m="1" x="3"/>
        <item m="1" x="67"/>
        <item m="1" x="71"/>
        <item m="1" x="39"/>
        <item m="1" x="20"/>
        <item m="1" x="8"/>
        <item m="1" x="54"/>
        <item m="1" x="19"/>
        <item m="1" x="25"/>
        <item m="1" x="35"/>
        <item m="1" x="42"/>
        <item m="1" x="65"/>
        <item m="1" x="66"/>
        <item m="1" x="36"/>
        <item m="1" x="45"/>
        <item m="1" x="7"/>
        <item m="1" x="52"/>
        <item m="1" x="27"/>
        <item m="1" x="9"/>
        <item m="1" x="41"/>
        <item m="1" x="18"/>
        <item m="1" x="50"/>
        <item m="1" x="24"/>
        <item m="1" x="60"/>
        <item m="1" x="22"/>
        <item m="1" x="2"/>
        <item m="1" x="44"/>
        <item m="1" x="46"/>
        <item m="1" x="32"/>
        <item m="1" x="49"/>
        <item m="1" x="48"/>
        <item m="1" x="1"/>
        <item m="1" x="28"/>
        <item m="1" x="56"/>
        <item m="1" x="34"/>
        <item m="1" x="68"/>
        <item m="1" x="31"/>
        <item x="0"/>
        <item t="default"/>
      </items>
    </pivotField>
    <pivotField showAll="0"/>
    <pivotField showAll="0"/>
    <pivotField showAll="0"/>
    <pivotField showAll="0">
      <items count="5">
        <item m="1" x="1"/>
        <item m="1" x="2"/>
        <item m="1" x="3"/>
        <item x="0"/>
        <item t="default"/>
      </items>
    </pivotField>
    <pivotField axis="axisRow" showAll="0">
      <items count="4">
        <item m="1" x="1"/>
        <item m="1" x="2"/>
        <item x="0"/>
        <item t="default"/>
      </items>
    </pivotField>
    <pivotField showAll="0">
      <items count="5">
        <item m="1" x="1"/>
        <item m="1" x="3"/>
        <item m="1" x="2"/>
        <item x="0"/>
        <item t="default"/>
      </items>
    </pivotField>
  </pivotFields>
  <rowFields count="1">
    <field x="6"/>
  </rowFields>
  <rowItems count="2">
    <i>
      <x v="2"/>
    </i>
    <i t="grand">
      <x/>
    </i>
  </rowItems>
  <colItems count="1">
    <i/>
  </colItems>
  <dataFields count="1">
    <dataField name="Área Técnica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_Técnica1" xr10:uid="{F7D7407C-5827-4220-B27D-C57D94D018C9}" sourceName="Área Técnica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</pivotTables>
  <data>
    <tabular pivotCacheId="1004924386">
      <items count="23">
        <i x="1" s="1" nd="1"/>
        <i x="8" s="1" nd="1"/>
        <i x="12" s="1" nd="1"/>
        <i x="7" s="1" nd="1"/>
        <i x="16" s="1" nd="1"/>
        <i x="14" s="1" nd="1"/>
        <i x="3" s="1" nd="1"/>
        <i x="2" s="1" nd="1"/>
        <i x="17" s="1" nd="1"/>
        <i x="10" s="1" nd="1"/>
        <i x="15" s="1" nd="1"/>
        <i x="21" s="1" nd="1"/>
        <i x="20" s="1" nd="1"/>
        <i x="11" s="1" nd="1"/>
        <i x="9" s="1" nd="1"/>
        <i x="6" s="1" nd="1"/>
        <i x="18" s="1" nd="1"/>
        <i x="13" s="1" nd="1"/>
        <i x="5" s="1" nd="1"/>
        <i x="19" s="1" nd="1"/>
        <i x="22" s="1" nd="1"/>
        <i x="4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á_parecer_elaborado?1" xr10:uid="{45826C0E-C1B0-4392-8C0D-B3F7F129D5D1}" sourceName="Há parecer elaborado?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</pivotTables>
  <data>
    <tabular pivotCacheId="1004924386">
      <items count="4">
        <i x="1" s="1" nd="1"/>
        <i x="2" s="1" nd="1"/>
        <i x="3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gestão_de_emenda1" xr10:uid="{46703792-5407-420B-8213-07612C172A12}" sourceName="Sugestão de emenda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</pivotTables>
  <data>
    <tabular pivotCacheId="1004924386">
      <items count="3">
        <i x="1" s="1" nd="1"/>
        <i x="2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osicionamento_da_área_técnica1" xr10:uid="{682CA45B-E99A-4EEA-8965-F8A43F305386}" sourceName="Posicionamento da área técnica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</pivotTables>
  <data>
    <tabular pivotCacheId="1004924386">
      <items count="4">
        <i x="1" s="1" nd="1"/>
        <i x="3" s="1" nd="1"/>
        <i x="2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ponsável" xr10:uid="{3B103097-3312-433E-9B99-C897935EFA38}" sourceName="Responsável">
  <pivotTables>
    <pivotTable tabId="4" name="Tabela dinâmica1"/>
    <pivotTable tabId="4" name="Tabela dinâmica2"/>
    <pivotTable tabId="4" name="Tabela dinâmica3"/>
    <pivotTable tabId="4" name="Tabela dinâmica4"/>
    <pivotTable tabId="4" name="Tabela dinâmica5"/>
  </pivotTables>
  <data>
    <tabular pivotCacheId="1004924386">
      <items count="77">
        <i x="43" s="1" nd="1"/>
        <i x="33" s="1" nd="1"/>
        <i x="17" s="1" nd="1"/>
        <i x="16" s="1" nd="1"/>
        <i x="13" s="1" nd="1"/>
        <i x="30" s="1" nd="1"/>
        <i x="4" s="1" nd="1"/>
        <i x="63" s="1" nd="1"/>
        <i x="23" s="1" nd="1"/>
        <i x="11" s="1" nd="1"/>
        <i x="55" s="1" nd="1"/>
        <i x="70" s="1" nd="1"/>
        <i x="73" s="1" nd="1"/>
        <i x="61" s="1" nd="1"/>
        <i x="53" s="1" nd="1"/>
        <i x="5" s="1" nd="1"/>
        <i x="51" s="1" nd="1"/>
        <i x="47" s="1" nd="1"/>
        <i x="62" s="1" nd="1"/>
        <i x="72" s="1" nd="1"/>
        <i x="26" s="1" nd="1"/>
        <i x="12" s="1" nd="1"/>
        <i x="38" s="1" nd="1"/>
        <i x="76" s="1" nd="1"/>
        <i x="59" s="1" nd="1"/>
        <i x="69" s="1" nd="1"/>
        <i x="29" s="1" nd="1"/>
        <i x="15" s="1" nd="1"/>
        <i x="74" s="1" nd="1"/>
        <i x="75" s="1" nd="1"/>
        <i x="37" s="1" nd="1"/>
        <i x="58" s="1" nd="1"/>
        <i x="6" s="1" nd="1"/>
        <i x="10" s="1" nd="1"/>
        <i x="21" s="1" nd="1"/>
        <i x="64" s="1" nd="1"/>
        <i x="14" s="1" nd="1"/>
        <i x="40" s="1" nd="1"/>
        <i x="57" s="1" nd="1"/>
        <i x="3" s="1" nd="1"/>
        <i x="67" s="1" nd="1"/>
        <i x="71" s="1" nd="1"/>
        <i x="39" s="1" nd="1"/>
        <i x="20" s="1" nd="1"/>
        <i x="8" s="1" nd="1"/>
        <i x="54" s="1" nd="1"/>
        <i x="19" s="1" nd="1"/>
        <i x="25" s="1" nd="1"/>
        <i x="35" s="1" nd="1"/>
        <i x="42" s="1" nd="1"/>
        <i x="65" s="1" nd="1"/>
        <i x="66" s="1" nd="1"/>
        <i x="36" s="1" nd="1"/>
        <i x="45" s="1" nd="1"/>
        <i x="7" s="1" nd="1"/>
        <i x="52" s="1" nd="1"/>
        <i x="27" s="1" nd="1"/>
        <i x="9" s="1" nd="1"/>
        <i x="41" s="1" nd="1"/>
        <i x="18" s="1" nd="1"/>
        <i x="50" s="1" nd="1"/>
        <i x="24" s="1" nd="1"/>
        <i x="60" s="1" nd="1"/>
        <i x="22" s="1" nd="1"/>
        <i x="2" s="1" nd="1"/>
        <i x="44" s="1" nd="1"/>
        <i x="46" s="1" nd="1"/>
        <i x="32" s="1" nd="1"/>
        <i x="49" s="1" nd="1"/>
        <i x="48" s="1" nd="1"/>
        <i x="1" s="1" nd="1"/>
        <i x="28" s="1" nd="1"/>
        <i x="56" s="1" nd="1"/>
        <i x="34" s="1" nd="1"/>
        <i x="68" s="1" nd="1"/>
        <i x="31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_Técnica" xr10:uid="{813DE9F1-F9E0-43BC-AA57-A1A8B3382883}" sourceName="Área Técnic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á_parecer_elaborado?" xr10:uid="{9A728421-1A69-49DF-A0C8-A34628B5768C}" sourceName="Há parecer elaborado?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gestão_de_emenda" xr10:uid="{DD21C2F1-8976-4B0B-937D-0184B0E0BF58}" sourceName="Sugestão de emenda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osicionamento_da_área_técnica" xr10:uid="{B6CD4A69-C061-4E7C-84EF-88585F3F634C}" sourceName="Posicionamento da área técnica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 Técnica 1" xr10:uid="{D955A06A-6222-406A-BB04-2D67C38C07BA}" cache="SegmentaçãodeDados_Área_Técnica1" caption="Área Técnica" rowHeight="180000"/>
  <slicer name="Há parecer elaborado? 1" xr10:uid="{56326476-7BF5-40D8-9384-7EF3E253B5CD}" cache="SegmentaçãodeDados_Há_parecer_elaborado?1" caption="Há parecer elaborado?" rowHeight="241300"/>
  <slicer name="Sugestão de emenda 1" xr10:uid="{92FF1504-F6DD-4E33-BC21-A7292047F43C}" cache="SegmentaçãodeDados_Sugestão_de_emenda1" caption="Sugestão de emenda" rowHeight="241300"/>
  <slicer name="Posicionamento da área técnica 1" xr10:uid="{F953943B-6DA7-4C01-AF33-791A5AB9891E}" cache="SegmentaçãodeDados_Posicionamento_da_área_técnica1" caption="Posicionamento da área técnica" rowHeight="241300"/>
  <slicer name="Responsável" xr10:uid="{C6F9D950-1567-44E0-A137-B965A8993C64}" cache="SegmentaçãodeDados_Responsável" caption="Responsável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 Técnica" xr10:uid="{AC7265BC-7100-48E3-ACDC-0FC8A655B76C}" cache="SegmentaçãodeDados_Área_Técnica" caption="Área Técnica" columnCount="6" rowHeight="180000"/>
  <slicer name="Há parecer elaborado?" xr10:uid="{25813C2C-2949-4B94-ACA8-08F4112CB1B7}" cache="SegmentaçãodeDados_Há_parecer_elaborado?" caption="Há parecer elaborado?" rowHeight="241300"/>
  <slicer name="Sugestão de emenda" xr10:uid="{6B18D107-29E7-4249-A8CD-1E9382D0377B}" cache="SegmentaçãodeDados_Sugestão_de_emenda" caption="Sugestão de emenda" rowHeight="241300"/>
  <slicer name="Posicionamento da área técnica" xr10:uid="{26F06FBB-9766-47D4-86A5-2A8CF1264767}" cache="SegmentaçãodeDados_Posicionamento_da_área_técnica" caption="Posicionamento da área técnica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79E7B-06D5-4151-8425-D01B736B761D}" name="Tabela1" displayName="Tabela1" ref="A4:H204" totalsRowShown="0">
  <autoFilter ref="A4:H204" xr:uid="{D8A79E7B-06D5-4151-8425-D01B736B761D}"/>
  <tableColumns count="8">
    <tableColumn id="1" xr3:uid="{9CAFA5B3-B932-4EE3-B28B-76667503ACEC}" name="Área Técnica" dataDxfId="1"/>
    <tableColumn id="8" xr3:uid="{4652306D-E367-4EF3-9305-428E4CABACA8}" name="Responsável" dataDxfId="0"/>
    <tableColumn id="2" xr3:uid="{9024E10B-19F3-4B9B-9A76-D39490719F23}" name="Projeto"/>
    <tableColumn id="3" xr3:uid="{AFFC3872-72FE-4D77-9690-A4939FBBED13}" name="Ementa"/>
    <tableColumn id="4" xr3:uid="{B9F71CA5-23A7-4D73-830C-75A75B3CD89A}" name="Atual comissão"/>
    <tableColumn id="5" xr3:uid="{0AD3138B-B271-49CC-BAEA-0F20318D242A}" name="Há parecer elaborado?"/>
    <tableColumn id="6" xr3:uid="{43486771-34A6-4305-81C7-1BD906199BE9}" name="Sugestão de emenda"/>
    <tableColumn id="7" xr3:uid="{A8B8DA30-413B-473D-B3D2-6DCB35B744F9}" name="Posicionamento da área técnic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W48"/>
  <sheetViews>
    <sheetView workbookViewId="0">
      <selection activeCell="A10" sqref="A10"/>
    </sheetView>
  </sheetViews>
  <sheetFormatPr defaultRowHeight="15" x14ac:dyDescent="0.25"/>
  <cols>
    <col min="1" max="1" width="35.140625" bestFit="1" customWidth="1"/>
    <col min="2" max="2" width="19.85546875" customWidth="1"/>
    <col min="3" max="3" width="22.85546875" customWidth="1"/>
    <col min="4" max="4" width="31.140625" customWidth="1"/>
    <col min="5" max="5" width="23" customWidth="1"/>
    <col min="7" max="7" width="97.28515625" style="9" bestFit="1" customWidth="1"/>
    <col min="8" max="8" width="87.7109375" style="9" bestFit="1" customWidth="1"/>
    <col min="13" max="13" width="112.28515625" bestFit="1" customWidth="1"/>
  </cols>
  <sheetData>
    <row r="1" spans="1:23" x14ac:dyDescent="0.25">
      <c r="G1" s="20" t="s">
        <v>83</v>
      </c>
      <c r="H1" s="20"/>
    </row>
    <row r="2" spans="1:23" ht="30.75" customHeight="1" x14ac:dyDescent="0.25">
      <c r="A2" s="7" t="s">
        <v>0</v>
      </c>
      <c r="B2" s="5" t="s">
        <v>23</v>
      </c>
      <c r="C2" s="6" t="s">
        <v>24</v>
      </c>
      <c r="D2" s="5" t="s">
        <v>58</v>
      </c>
      <c r="E2" s="6" t="s">
        <v>82</v>
      </c>
      <c r="G2" s="10" t="s">
        <v>1</v>
      </c>
      <c r="H2" s="10" t="s">
        <v>84</v>
      </c>
    </row>
    <row r="3" spans="1:23" ht="15.75" x14ac:dyDescent="0.25">
      <c r="A3" s="8" t="s">
        <v>3</v>
      </c>
      <c r="B3" s="4" t="s">
        <v>29</v>
      </c>
      <c r="C3" s="3" t="s">
        <v>25</v>
      </c>
      <c r="D3" s="4" t="s">
        <v>72</v>
      </c>
      <c r="E3" s="3" t="s">
        <v>62</v>
      </c>
      <c r="G3" s="9" t="s">
        <v>85</v>
      </c>
      <c r="H3" s="9" t="s">
        <v>86</v>
      </c>
    </row>
    <row r="4" spans="1:23" ht="15.75" x14ac:dyDescent="0.25">
      <c r="A4" s="8" t="s">
        <v>6</v>
      </c>
      <c r="B4" s="4" t="s">
        <v>26</v>
      </c>
      <c r="C4" s="3" t="s">
        <v>25</v>
      </c>
      <c r="D4" s="4" t="s">
        <v>77</v>
      </c>
      <c r="E4" s="3" t="s">
        <v>62</v>
      </c>
      <c r="G4" s="9" t="s">
        <v>87</v>
      </c>
      <c r="H4" s="9" t="s">
        <v>88</v>
      </c>
    </row>
    <row r="5" spans="1:23" x14ac:dyDescent="0.25">
      <c r="A5" s="8" t="s">
        <v>14</v>
      </c>
      <c r="B5" s="4" t="s">
        <v>26</v>
      </c>
      <c r="C5" s="3" t="s">
        <v>25</v>
      </c>
      <c r="D5" s="4" t="s">
        <v>76</v>
      </c>
      <c r="E5" s="3" t="s">
        <v>62</v>
      </c>
      <c r="G5" s="9" t="s">
        <v>89</v>
      </c>
      <c r="H5" s="11" t="s">
        <v>106</v>
      </c>
    </row>
    <row r="6" spans="1:23" ht="15.75" x14ac:dyDescent="0.25">
      <c r="A6" s="8" t="s">
        <v>18</v>
      </c>
      <c r="B6" s="4" t="s">
        <v>38</v>
      </c>
      <c r="C6" s="3" t="s">
        <v>25</v>
      </c>
      <c r="D6" s="4" t="s">
        <v>70</v>
      </c>
      <c r="E6" s="3" t="s">
        <v>62</v>
      </c>
      <c r="G6" s="9" t="s">
        <v>90</v>
      </c>
      <c r="H6" s="9" t="s">
        <v>105</v>
      </c>
    </row>
    <row r="7" spans="1:23" ht="15.75" x14ac:dyDescent="0.25">
      <c r="A7" s="8" t="s">
        <v>11</v>
      </c>
      <c r="B7" s="4" t="s">
        <v>33</v>
      </c>
      <c r="C7" s="3" t="s">
        <v>25</v>
      </c>
      <c r="D7" s="4" t="s">
        <v>66</v>
      </c>
      <c r="E7" s="3" t="s">
        <v>62</v>
      </c>
      <c r="G7" s="9" t="s">
        <v>91</v>
      </c>
      <c r="H7" s="9" t="s">
        <v>107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x14ac:dyDescent="0.25">
      <c r="A8" s="8" t="s">
        <v>4</v>
      </c>
      <c r="B8" s="4" t="s">
        <v>28</v>
      </c>
      <c r="C8" s="3" t="s">
        <v>25</v>
      </c>
      <c r="D8" s="4" t="s">
        <v>69</v>
      </c>
      <c r="E8" s="3" t="s">
        <v>62</v>
      </c>
      <c r="G8" s="9" t="s">
        <v>92</v>
      </c>
      <c r="H8" s="9" t="s">
        <v>108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x14ac:dyDescent="0.25">
      <c r="A9" s="8" t="s">
        <v>22</v>
      </c>
      <c r="C9" s="3" t="s">
        <v>25</v>
      </c>
      <c r="D9" s="4" t="s">
        <v>111</v>
      </c>
      <c r="E9" s="3" t="s">
        <v>62</v>
      </c>
      <c r="G9" s="9" t="s">
        <v>93</v>
      </c>
      <c r="H9" s="9" t="s">
        <v>110</v>
      </c>
    </row>
    <row r="10" spans="1:23" ht="15.75" x14ac:dyDescent="0.25">
      <c r="A10" s="8" t="s">
        <v>12</v>
      </c>
      <c r="B10" s="4" t="s">
        <v>34</v>
      </c>
      <c r="C10" s="3" t="s">
        <v>25</v>
      </c>
      <c r="D10" s="4" t="s">
        <v>75</v>
      </c>
      <c r="E10" s="3" t="s">
        <v>62</v>
      </c>
      <c r="G10" s="9" t="s">
        <v>94</v>
      </c>
      <c r="H10" s="9" t="s">
        <v>112</v>
      </c>
    </row>
    <row r="11" spans="1:23" ht="15.75" x14ac:dyDescent="0.25">
      <c r="A11" s="8" t="s">
        <v>21</v>
      </c>
      <c r="B11" s="4" t="s">
        <v>78</v>
      </c>
      <c r="C11" s="3" t="s">
        <v>25</v>
      </c>
      <c r="D11" s="4" t="s">
        <v>109</v>
      </c>
      <c r="E11" s="3" t="s">
        <v>62</v>
      </c>
      <c r="G11" s="9" t="s">
        <v>95</v>
      </c>
      <c r="H11" s="9" t="s">
        <v>113</v>
      </c>
    </row>
    <row r="12" spans="1:23" ht="15.75" x14ac:dyDescent="0.25">
      <c r="A12" s="8" t="s">
        <v>7</v>
      </c>
      <c r="B12" s="4" t="s">
        <v>81</v>
      </c>
      <c r="C12" s="3" t="s">
        <v>25</v>
      </c>
      <c r="D12" s="4" t="s">
        <v>67</v>
      </c>
      <c r="E12" s="3" t="s">
        <v>62</v>
      </c>
      <c r="G12" s="9" t="s">
        <v>96</v>
      </c>
      <c r="H12" s="9" t="s">
        <v>114</v>
      </c>
    </row>
    <row r="13" spans="1:23" ht="15.75" x14ac:dyDescent="0.25">
      <c r="A13" s="8" t="s">
        <v>15</v>
      </c>
      <c r="B13" s="4" t="s">
        <v>35</v>
      </c>
      <c r="C13" s="3" t="s">
        <v>25</v>
      </c>
      <c r="D13" s="4" t="s">
        <v>64</v>
      </c>
      <c r="E13" s="3" t="s">
        <v>62</v>
      </c>
      <c r="G13" s="9" t="s">
        <v>97</v>
      </c>
      <c r="H13" s="9" t="s">
        <v>115</v>
      </c>
    </row>
    <row r="14" spans="1:23" ht="15.75" x14ac:dyDescent="0.25">
      <c r="A14" s="8" t="s">
        <v>16</v>
      </c>
      <c r="B14" s="4" t="s">
        <v>36</v>
      </c>
      <c r="C14" s="3" t="s">
        <v>25</v>
      </c>
      <c r="D14" s="4" t="s">
        <v>73</v>
      </c>
      <c r="E14" s="3" t="s">
        <v>62</v>
      </c>
      <c r="G14" s="9" t="s">
        <v>98</v>
      </c>
      <c r="H14" s="9" t="s">
        <v>116</v>
      </c>
    </row>
    <row r="15" spans="1:23" ht="15.75" x14ac:dyDescent="0.25">
      <c r="A15" s="8" t="s">
        <v>19</v>
      </c>
      <c r="B15" s="4" t="s">
        <v>39</v>
      </c>
      <c r="C15" s="3" t="s">
        <v>25</v>
      </c>
      <c r="D15" s="4" t="s">
        <v>76</v>
      </c>
      <c r="E15" s="3" t="s">
        <v>62</v>
      </c>
      <c r="G15" s="9" t="s">
        <v>99</v>
      </c>
      <c r="H15" s="9" t="s">
        <v>117</v>
      </c>
    </row>
    <row r="16" spans="1:23" ht="15.75" x14ac:dyDescent="0.25">
      <c r="A16" s="8" t="s">
        <v>9</v>
      </c>
      <c r="B16" s="4" t="s">
        <v>31</v>
      </c>
      <c r="C16" s="3" t="s">
        <v>25</v>
      </c>
      <c r="D16" s="4" t="s">
        <v>71</v>
      </c>
      <c r="E16" s="3" t="s">
        <v>62</v>
      </c>
      <c r="G16" s="9" t="s">
        <v>100</v>
      </c>
      <c r="H16" s="9" t="s">
        <v>118</v>
      </c>
    </row>
    <row r="17" spans="1:8" ht="15.75" x14ac:dyDescent="0.25">
      <c r="A17" s="8" t="s">
        <v>13</v>
      </c>
      <c r="B17" s="4" t="s">
        <v>27</v>
      </c>
      <c r="C17" s="3" t="s">
        <v>25</v>
      </c>
      <c r="D17" s="4" t="s">
        <v>68</v>
      </c>
      <c r="E17" s="3" t="s">
        <v>62</v>
      </c>
      <c r="G17" s="9" t="s">
        <v>101</v>
      </c>
      <c r="H17" s="9" t="s">
        <v>119</v>
      </c>
    </row>
    <row r="18" spans="1:8" ht="15.75" x14ac:dyDescent="0.25">
      <c r="A18" s="8" t="s">
        <v>134</v>
      </c>
      <c r="B18" s="4" t="s">
        <v>79</v>
      </c>
      <c r="C18" s="3" t="s">
        <v>25</v>
      </c>
      <c r="D18" s="4" t="s">
        <v>80</v>
      </c>
      <c r="E18" s="3" t="s">
        <v>62</v>
      </c>
      <c r="G18" s="9" t="s">
        <v>102</v>
      </c>
      <c r="H18" s="9" t="s">
        <v>121</v>
      </c>
    </row>
    <row r="19" spans="1:8" ht="15.75" x14ac:dyDescent="0.25">
      <c r="A19" s="8" t="s">
        <v>8</v>
      </c>
      <c r="B19" s="4" t="s">
        <v>30</v>
      </c>
      <c r="C19" s="3" t="s">
        <v>25</v>
      </c>
      <c r="D19" s="4" t="s">
        <v>65</v>
      </c>
      <c r="E19" s="3" t="s">
        <v>62</v>
      </c>
      <c r="G19" s="10" t="s">
        <v>2</v>
      </c>
      <c r="H19" s="10" t="s">
        <v>122</v>
      </c>
    </row>
    <row r="20" spans="1:8" ht="15.75" x14ac:dyDescent="0.25">
      <c r="A20" s="8" t="s">
        <v>5</v>
      </c>
      <c r="B20" s="4" t="s">
        <v>27</v>
      </c>
      <c r="C20" s="3" t="s">
        <v>25</v>
      </c>
      <c r="D20" s="4" t="s">
        <v>59</v>
      </c>
      <c r="E20" s="3" t="s">
        <v>62</v>
      </c>
      <c r="G20" s="9" t="s">
        <v>103</v>
      </c>
      <c r="H20" s="9" t="s">
        <v>120</v>
      </c>
    </row>
    <row r="21" spans="1:8" ht="15.75" x14ac:dyDescent="0.25">
      <c r="A21" s="8" t="s">
        <v>20</v>
      </c>
      <c r="B21" s="4" t="s">
        <v>40</v>
      </c>
      <c r="C21" s="3" t="s">
        <v>25</v>
      </c>
      <c r="D21" s="4" t="s">
        <v>61</v>
      </c>
      <c r="E21" s="3" t="s">
        <v>62</v>
      </c>
      <c r="G21" s="9" t="s">
        <v>104</v>
      </c>
      <c r="H21" s="9" t="s">
        <v>123</v>
      </c>
    </row>
    <row r="22" spans="1:8" ht="15.75" x14ac:dyDescent="0.25">
      <c r="A22" s="8" t="s">
        <v>10</v>
      </c>
      <c r="B22" s="4" t="s">
        <v>32</v>
      </c>
      <c r="C22" s="3" t="s">
        <v>25</v>
      </c>
      <c r="D22" s="4" t="s">
        <v>63</v>
      </c>
      <c r="E22" s="3" t="s">
        <v>62</v>
      </c>
      <c r="F22" t="s">
        <v>74</v>
      </c>
      <c r="H22" s="9" t="s">
        <v>124</v>
      </c>
    </row>
    <row r="23" spans="1:8" ht="15.75" x14ac:dyDescent="0.25">
      <c r="A23" s="13" t="s">
        <v>17</v>
      </c>
      <c r="B23" s="14" t="s">
        <v>37</v>
      </c>
      <c r="C23" s="15" t="s">
        <v>25</v>
      </c>
      <c r="D23" s="14" t="s">
        <v>60</v>
      </c>
      <c r="E23" s="15" t="s">
        <v>62</v>
      </c>
      <c r="H23" s="9" t="s">
        <v>125</v>
      </c>
    </row>
    <row r="24" spans="1:8" ht="15.75" x14ac:dyDescent="0.25">
      <c r="H24" s="9" t="s">
        <v>126</v>
      </c>
    </row>
    <row r="25" spans="1:8" ht="15.75" x14ac:dyDescent="0.25">
      <c r="H25" s="12" t="s">
        <v>127</v>
      </c>
    </row>
    <row r="26" spans="1:8" ht="15.75" x14ac:dyDescent="0.25">
      <c r="H26" s="9" t="s">
        <v>128</v>
      </c>
    </row>
    <row r="27" spans="1:8" ht="15.75" x14ac:dyDescent="0.25">
      <c r="H27" s="9" t="s">
        <v>129</v>
      </c>
    </row>
    <row r="28" spans="1:8" ht="15.75" x14ac:dyDescent="0.25">
      <c r="H28" s="9" t="s">
        <v>130</v>
      </c>
    </row>
    <row r="29" spans="1:8" ht="15.75" x14ac:dyDescent="0.25">
      <c r="H29" s="9" t="s">
        <v>132</v>
      </c>
    </row>
    <row r="30" spans="1:8" ht="15.75" x14ac:dyDescent="0.25">
      <c r="H30" s="9" t="s">
        <v>131</v>
      </c>
    </row>
    <row r="31" spans="1:8" x14ac:dyDescent="0.25">
      <c r="H31" s="10" t="s">
        <v>133</v>
      </c>
    </row>
    <row r="32" spans="1:8" ht="17.25" x14ac:dyDescent="0.25">
      <c r="H32" s="2" t="s">
        <v>43</v>
      </c>
    </row>
    <row r="33" spans="8:8" ht="17.25" x14ac:dyDescent="0.25">
      <c r="H33" s="2" t="s">
        <v>44</v>
      </c>
    </row>
    <row r="34" spans="8:8" ht="17.25" x14ac:dyDescent="0.25">
      <c r="H34" s="2" t="s">
        <v>45</v>
      </c>
    </row>
    <row r="35" spans="8:8" ht="17.25" x14ac:dyDescent="0.25">
      <c r="H35" s="2" t="s">
        <v>46</v>
      </c>
    </row>
    <row r="36" spans="8:8" ht="17.25" x14ac:dyDescent="0.25">
      <c r="H36" s="2" t="s">
        <v>47</v>
      </c>
    </row>
    <row r="37" spans="8:8" ht="17.25" x14ac:dyDescent="0.25">
      <c r="H37" s="2" t="s">
        <v>48</v>
      </c>
    </row>
    <row r="38" spans="8:8" ht="17.25" x14ac:dyDescent="0.25">
      <c r="H38" s="2" t="s">
        <v>49</v>
      </c>
    </row>
    <row r="39" spans="8:8" ht="17.25" x14ac:dyDescent="0.25">
      <c r="H39" s="2" t="s">
        <v>50</v>
      </c>
    </row>
    <row r="40" spans="8:8" ht="17.25" x14ac:dyDescent="0.25">
      <c r="H40" s="2" t="s">
        <v>51</v>
      </c>
    </row>
    <row r="41" spans="8:8" ht="17.25" x14ac:dyDescent="0.25">
      <c r="H41" s="2" t="s">
        <v>52</v>
      </c>
    </row>
    <row r="42" spans="8:8" ht="17.25" x14ac:dyDescent="0.25">
      <c r="H42" s="2" t="s">
        <v>53</v>
      </c>
    </row>
    <row r="43" spans="8:8" ht="17.25" x14ac:dyDescent="0.25">
      <c r="H43" s="2" t="s">
        <v>54</v>
      </c>
    </row>
    <row r="44" spans="8:8" ht="17.25" x14ac:dyDescent="0.25">
      <c r="H44" s="2" t="s">
        <v>55</v>
      </c>
    </row>
    <row r="45" spans="8:8" ht="17.25" x14ac:dyDescent="0.25">
      <c r="H45" s="2" t="s">
        <v>56</v>
      </c>
    </row>
    <row r="46" spans="8:8" ht="17.25" x14ac:dyDescent="0.25">
      <c r="H46" s="2" t="s">
        <v>57</v>
      </c>
    </row>
    <row r="47" spans="8:8" ht="17.25" x14ac:dyDescent="0.25">
      <c r="H47" s="2" t="s">
        <v>41</v>
      </c>
    </row>
    <row r="48" spans="8:8" ht="17.25" x14ac:dyDescent="0.25">
      <c r="H48" s="2" t="s">
        <v>42</v>
      </c>
    </row>
  </sheetData>
  <sortState xmlns:xlrd2="http://schemas.microsoft.com/office/spreadsheetml/2017/richdata2" ref="A3:E23">
    <sortCondition ref="A3:A23"/>
  </sortState>
  <mergeCells count="1">
    <mergeCell ref="G1:H1"/>
  </mergeCells>
  <pageMargins left="0.7" right="0.7" top="0.75" bottom="0.75" header="0.3" footer="0.3"/>
  <pageSetup paperSize="9" scale="95" orientation="landscape" verticalDpi="116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75DB-AAD1-4F73-9BEA-3401BDF1F2BC}">
  <sheetPr codeName="Planilha3"/>
  <dimension ref="A1:G81"/>
  <sheetViews>
    <sheetView workbookViewId="0">
      <selection activeCell="C50" sqref="C50"/>
    </sheetView>
  </sheetViews>
  <sheetFormatPr defaultRowHeight="15" x14ac:dyDescent="0.25"/>
  <cols>
    <col min="1" max="1" width="3" bestFit="1" customWidth="1"/>
    <col min="2" max="2" width="24.5703125" bestFit="1" customWidth="1"/>
    <col min="3" max="3" width="33.85546875" bestFit="1" customWidth="1"/>
    <col min="4" max="4" width="34.28515625" bestFit="1" customWidth="1"/>
    <col min="5" max="5" width="21" customWidth="1"/>
    <col min="6" max="6" width="19.7109375" bestFit="1" customWidth="1"/>
    <col min="7" max="7" width="29.42578125" bestFit="1" customWidth="1"/>
  </cols>
  <sheetData>
    <row r="1" spans="1:7" x14ac:dyDescent="0.25">
      <c r="A1" t="s">
        <v>189</v>
      </c>
      <c r="B1" t="s">
        <v>135</v>
      </c>
      <c r="C1" t="s">
        <v>173</v>
      </c>
      <c r="D1" t="s">
        <v>174</v>
      </c>
      <c r="E1" t="s">
        <v>140</v>
      </c>
      <c r="F1" t="s">
        <v>147</v>
      </c>
      <c r="G1" t="s">
        <v>139</v>
      </c>
    </row>
    <row r="2" spans="1:7" x14ac:dyDescent="0.25">
      <c r="A2" cm="1">
        <f t="array" ref="A2:A81">_xlfn.SEQUENCE(MAX(COUNTA(B:B),COUNTA(C:C),COUNTA(D:D),COUNTA(E:E),COUNTA(F:F),COUNTA(G:G))-1)</f>
        <v>1</v>
      </c>
      <c r="B2" t="s">
        <v>149</v>
      </c>
      <c r="C2" t="s">
        <v>191</v>
      </c>
      <c r="D2" t="s">
        <v>184</v>
      </c>
      <c r="E2" t="s">
        <v>141</v>
      </c>
      <c r="F2" t="s">
        <v>141</v>
      </c>
      <c r="G2" t="s">
        <v>144</v>
      </c>
    </row>
    <row r="3" spans="1:7" x14ac:dyDescent="0.25">
      <c r="A3">
        <v>2</v>
      </c>
      <c r="B3" t="s">
        <v>148</v>
      </c>
      <c r="C3" t="s">
        <v>192</v>
      </c>
      <c r="D3" t="s">
        <v>187</v>
      </c>
      <c r="E3" t="s">
        <v>142</v>
      </c>
      <c r="F3" t="s">
        <v>142</v>
      </c>
      <c r="G3" t="s">
        <v>145</v>
      </c>
    </row>
    <row r="4" spans="1:7" x14ac:dyDescent="0.25">
      <c r="A4">
        <v>3</v>
      </c>
      <c r="B4" t="s">
        <v>150</v>
      </c>
      <c r="C4" t="s">
        <v>193</v>
      </c>
      <c r="D4" t="s">
        <v>158</v>
      </c>
      <c r="E4" t="s">
        <v>143</v>
      </c>
      <c r="G4" t="s">
        <v>146</v>
      </c>
    </row>
    <row r="5" spans="1:7" x14ac:dyDescent="0.25">
      <c r="A5">
        <v>4</v>
      </c>
      <c r="B5" t="s">
        <v>151</v>
      </c>
      <c r="C5" t="s">
        <v>194</v>
      </c>
      <c r="D5" t="s">
        <v>155</v>
      </c>
    </row>
    <row r="6" spans="1:7" x14ac:dyDescent="0.25">
      <c r="A6">
        <v>5</v>
      </c>
      <c r="B6" t="s">
        <v>152</v>
      </c>
      <c r="C6" t="s">
        <v>195</v>
      </c>
      <c r="D6" t="s">
        <v>166</v>
      </c>
    </row>
    <row r="7" spans="1:7" x14ac:dyDescent="0.25">
      <c r="A7">
        <v>6</v>
      </c>
      <c r="B7" t="s">
        <v>153</v>
      </c>
      <c r="C7" t="s">
        <v>196</v>
      </c>
      <c r="D7" t="s">
        <v>188</v>
      </c>
    </row>
    <row r="8" spans="1:7" x14ac:dyDescent="0.25">
      <c r="A8">
        <v>7</v>
      </c>
      <c r="B8" t="s">
        <v>154</v>
      </c>
      <c r="C8" t="s">
        <v>197</v>
      </c>
      <c r="D8" t="s">
        <v>183</v>
      </c>
    </row>
    <row r="9" spans="1:7" x14ac:dyDescent="0.25">
      <c r="A9">
        <v>8</v>
      </c>
      <c r="B9" t="s">
        <v>155</v>
      </c>
      <c r="C9" t="s">
        <v>198</v>
      </c>
      <c r="D9" t="s">
        <v>179</v>
      </c>
    </row>
    <row r="10" spans="1:7" x14ac:dyDescent="0.25">
      <c r="A10">
        <v>9</v>
      </c>
      <c r="B10" t="s">
        <v>156</v>
      </c>
      <c r="C10" t="s">
        <v>199</v>
      </c>
      <c r="D10" t="s">
        <v>155</v>
      </c>
    </row>
    <row r="11" spans="1:7" x14ac:dyDescent="0.25">
      <c r="A11">
        <v>10</v>
      </c>
      <c r="B11" t="s">
        <v>157</v>
      </c>
      <c r="C11" t="s">
        <v>200</v>
      </c>
      <c r="D11" t="s">
        <v>164</v>
      </c>
    </row>
    <row r="12" spans="1:7" x14ac:dyDescent="0.25">
      <c r="A12">
        <v>11</v>
      </c>
      <c r="B12" t="s">
        <v>158</v>
      </c>
      <c r="C12" t="s">
        <v>201</v>
      </c>
      <c r="D12" t="s">
        <v>164</v>
      </c>
    </row>
    <row r="13" spans="1:7" x14ac:dyDescent="0.25">
      <c r="A13">
        <v>12</v>
      </c>
      <c r="B13" t="s">
        <v>159</v>
      </c>
      <c r="C13" t="s">
        <v>202</v>
      </c>
      <c r="D13" t="s">
        <v>187</v>
      </c>
    </row>
    <row r="14" spans="1:7" x14ac:dyDescent="0.25">
      <c r="A14">
        <v>13</v>
      </c>
      <c r="B14" t="s">
        <v>170</v>
      </c>
      <c r="C14" t="s">
        <v>203</v>
      </c>
      <c r="D14" t="s">
        <v>179</v>
      </c>
    </row>
    <row r="15" spans="1:7" x14ac:dyDescent="0.25">
      <c r="A15">
        <v>14</v>
      </c>
      <c r="B15" t="s">
        <v>160</v>
      </c>
      <c r="C15" t="s">
        <v>204</v>
      </c>
      <c r="D15" t="s">
        <v>165</v>
      </c>
    </row>
    <row r="16" spans="1:7" x14ac:dyDescent="0.25">
      <c r="A16">
        <v>15</v>
      </c>
      <c r="B16" t="s">
        <v>169</v>
      </c>
      <c r="C16" t="s">
        <v>205</v>
      </c>
      <c r="D16" t="s">
        <v>154</v>
      </c>
    </row>
    <row r="17" spans="1:4" x14ac:dyDescent="0.25">
      <c r="A17">
        <v>16</v>
      </c>
      <c r="B17" t="s">
        <v>162</v>
      </c>
      <c r="C17" t="s">
        <v>206</v>
      </c>
      <c r="D17" t="s">
        <v>155</v>
      </c>
    </row>
    <row r="18" spans="1:4" x14ac:dyDescent="0.25">
      <c r="A18">
        <v>17</v>
      </c>
      <c r="B18" t="s">
        <v>163</v>
      </c>
      <c r="C18" t="s">
        <v>207</v>
      </c>
      <c r="D18" t="s">
        <v>182</v>
      </c>
    </row>
    <row r="19" spans="1:4" x14ac:dyDescent="0.25">
      <c r="A19">
        <v>18</v>
      </c>
      <c r="B19" t="s">
        <v>164</v>
      </c>
      <c r="C19" t="s">
        <v>208</v>
      </c>
      <c r="D19" t="s">
        <v>187</v>
      </c>
    </row>
    <row r="20" spans="1:4" x14ac:dyDescent="0.25">
      <c r="A20">
        <v>19</v>
      </c>
      <c r="B20" t="s">
        <v>165</v>
      </c>
      <c r="C20" t="s">
        <v>209</v>
      </c>
      <c r="D20" t="s">
        <v>164</v>
      </c>
    </row>
    <row r="21" spans="1:4" x14ac:dyDescent="0.25">
      <c r="A21">
        <v>20</v>
      </c>
      <c r="B21" t="s">
        <v>166</v>
      </c>
      <c r="C21" t="s">
        <v>210</v>
      </c>
      <c r="D21" t="s">
        <v>151</v>
      </c>
    </row>
    <row r="22" spans="1:4" x14ac:dyDescent="0.25">
      <c r="A22">
        <v>21</v>
      </c>
      <c r="B22" t="s">
        <v>167</v>
      </c>
      <c r="C22" t="s">
        <v>211</v>
      </c>
      <c r="D22" t="s">
        <v>187</v>
      </c>
    </row>
    <row r="23" spans="1:4" x14ac:dyDescent="0.25">
      <c r="A23">
        <v>22</v>
      </c>
      <c r="B23" t="s">
        <v>168</v>
      </c>
      <c r="C23" t="s">
        <v>212</v>
      </c>
      <c r="D23" t="s">
        <v>160</v>
      </c>
    </row>
    <row r="24" spans="1:4" x14ac:dyDescent="0.25">
      <c r="A24">
        <v>23</v>
      </c>
      <c r="C24" t="s">
        <v>213</v>
      </c>
      <c r="D24" t="s">
        <v>165</v>
      </c>
    </row>
    <row r="25" spans="1:4" x14ac:dyDescent="0.25">
      <c r="A25">
        <v>24</v>
      </c>
      <c r="C25" t="s">
        <v>214</v>
      </c>
      <c r="D25" t="s">
        <v>179</v>
      </c>
    </row>
    <row r="26" spans="1:4" x14ac:dyDescent="0.25">
      <c r="A26">
        <v>25</v>
      </c>
      <c r="C26" t="s">
        <v>215</v>
      </c>
      <c r="D26" t="s">
        <v>178</v>
      </c>
    </row>
    <row r="27" spans="1:4" x14ac:dyDescent="0.25">
      <c r="A27">
        <v>26</v>
      </c>
      <c r="C27" t="s">
        <v>216</v>
      </c>
      <c r="D27" t="s">
        <v>160</v>
      </c>
    </row>
    <row r="28" spans="1:4" x14ac:dyDescent="0.25">
      <c r="A28">
        <v>27</v>
      </c>
      <c r="C28" t="s">
        <v>217</v>
      </c>
      <c r="D28" t="s">
        <v>165</v>
      </c>
    </row>
    <row r="29" spans="1:4" x14ac:dyDescent="0.25">
      <c r="A29">
        <v>28</v>
      </c>
      <c r="C29" t="s">
        <v>218</v>
      </c>
      <c r="D29" t="s">
        <v>167</v>
      </c>
    </row>
    <row r="30" spans="1:4" x14ac:dyDescent="0.25">
      <c r="A30">
        <v>29</v>
      </c>
      <c r="C30" t="s">
        <v>219</v>
      </c>
      <c r="D30" t="s">
        <v>155</v>
      </c>
    </row>
    <row r="31" spans="1:4" x14ac:dyDescent="0.25">
      <c r="A31">
        <v>30</v>
      </c>
      <c r="C31" t="s">
        <v>220</v>
      </c>
      <c r="D31" t="s">
        <v>186</v>
      </c>
    </row>
    <row r="32" spans="1:4" x14ac:dyDescent="0.25">
      <c r="A32">
        <v>31</v>
      </c>
      <c r="C32" t="s">
        <v>221</v>
      </c>
      <c r="D32" t="s">
        <v>152</v>
      </c>
    </row>
    <row r="33" spans="1:4" x14ac:dyDescent="0.25">
      <c r="A33">
        <v>32</v>
      </c>
      <c r="C33" t="s">
        <v>222</v>
      </c>
      <c r="D33" t="s">
        <v>190</v>
      </c>
    </row>
    <row r="34" spans="1:4" x14ac:dyDescent="0.25">
      <c r="A34">
        <v>33</v>
      </c>
      <c r="C34" t="s">
        <v>223</v>
      </c>
      <c r="D34" t="s">
        <v>155</v>
      </c>
    </row>
    <row r="35" spans="1:4" x14ac:dyDescent="0.25">
      <c r="A35">
        <v>34</v>
      </c>
      <c r="C35" t="s">
        <v>224</v>
      </c>
      <c r="D35" t="s">
        <v>186</v>
      </c>
    </row>
    <row r="36" spans="1:4" x14ac:dyDescent="0.25">
      <c r="A36">
        <v>35</v>
      </c>
      <c r="C36" t="s">
        <v>225</v>
      </c>
      <c r="D36" t="s">
        <v>161</v>
      </c>
    </row>
    <row r="37" spans="1:4" x14ac:dyDescent="0.25">
      <c r="A37">
        <v>36</v>
      </c>
      <c r="C37" t="s">
        <v>226</v>
      </c>
      <c r="D37" t="s">
        <v>161</v>
      </c>
    </row>
    <row r="38" spans="1:4" x14ac:dyDescent="0.25">
      <c r="A38">
        <v>37</v>
      </c>
      <c r="C38" t="s">
        <v>227</v>
      </c>
      <c r="D38" t="s">
        <v>162</v>
      </c>
    </row>
    <row r="39" spans="1:4" x14ac:dyDescent="0.25">
      <c r="A39">
        <v>38</v>
      </c>
      <c r="C39" t="s">
        <v>228</v>
      </c>
      <c r="D39" t="s">
        <v>181</v>
      </c>
    </row>
    <row r="40" spans="1:4" x14ac:dyDescent="0.25">
      <c r="A40">
        <v>39</v>
      </c>
      <c r="C40" t="s">
        <v>229</v>
      </c>
      <c r="D40" t="s">
        <v>165</v>
      </c>
    </row>
    <row r="41" spans="1:4" x14ac:dyDescent="0.25">
      <c r="A41">
        <v>40</v>
      </c>
      <c r="C41" t="s">
        <v>230</v>
      </c>
      <c r="D41" t="s">
        <v>166</v>
      </c>
    </row>
    <row r="42" spans="1:4" x14ac:dyDescent="0.25">
      <c r="A42">
        <v>41</v>
      </c>
      <c r="C42" t="s">
        <v>231</v>
      </c>
      <c r="D42" t="s">
        <v>167</v>
      </c>
    </row>
    <row r="43" spans="1:4" x14ac:dyDescent="0.25">
      <c r="A43">
        <v>42</v>
      </c>
      <c r="C43" t="s">
        <v>232</v>
      </c>
      <c r="D43" t="s">
        <v>185</v>
      </c>
    </row>
    <row r="44" spans="1:4" x14ac:dyDescent="0.25">
      <c r="A44">
        <v>43</v>
      </c>
      <c r="C44" t="s">
        <v>233</v>
      </c>
      <c r="D44" t="s">
        <v>168</v>
      </c>
    </row>
    <row r="45" spans="1:4" x14ac:dyDescent="0.25">
      <c r="A45">
        <v>44</v>
      </c>
      <c r="C45" t="s">
        <v>234</v>
      </c>
      <c r="D45" t="s">
        <v>162</v>
      </c>
    </row>
    <row r="46" spans="1:4" x14ac:dyDescent="0.25">
      <c r="A46">
        <v>45</v>
      </c>
      <c r="C46" t="s">
        <v>235</v>
      </c>
      <c r="D46" t="s">
        <v>154</v>
      </c>
    </row>
    <row r="47" spans="1:4" x14ac:dyDescent="0.25">
      <c r="A47">
        <v>46</v>
      </c>
      <c r="C47" t="s">
        <v>236</v>
      </c>
      <c r="D47" t="s">
        <v>168</v>
      </c>
    </row>
    <row r="48" spans="1:4" x14ac:dyDescent="0.25">
      <c r="A48">
        <v>47</v>
      </c>
      <c r="C48" t="s">
        <v>237</v>
      </c>
      <c r="D48" t="s">
        <v>182</v>
      </c>
    </row>
    <row r="49" spans="1:4" x14ac:dyDescent="0.25">
      <c r="A49">
        <v>48</v>
      </c>
      <c r="C49" t="s">
        <v>238</v>
      </c>
      <c r="D49" t="s">
        <v>165</v>
      </c>
    </row>
    <row r="50" spans="1:4" x14ac:dyDescent="0.25">
      <c r="A50">
        <v>49</v>
      </c>
      <c r="C50" t="s">
        <v>239</v>
      </c>
      <c r="D50" t="s">
        <v>155</v>
      </c>
    </row>
    <row r="51" spans="1:4" x14ac:dyDescent="0.25">
      <c r="A51">
        <v>50</v>
      </c>
      <c r="C51" t="s">
        <v>240</v>
      </c>
      <c r="D51" t="s">
        <v>184</v>
      </c>
    </row>
    <row r="52" spans="1:4" x14ac:dyDescent="0.25">
      <c r="A52">
        <v>51</v>
      </c>
      <c r="C52" t="s">
        <v>241</v>
      </c>
      <c r="D52" t="s">
        <v>165</v>
      </c>
    </row>
    <row r="53" spans="1:4" x14ac:dyDescent="0.25">
      <c r="A53">
        <v>52</v>
      </c>
      <c r="C53" t="s">
        <v>242</v>
      </c>
      <c r="D53" t="s">
        <v>168</v>
      </c>
    </row>
    <row r="54" spans="1:4" x14ac:dyDescent="0.25">
      <c r="A54">
        <v>53</v>
      </c>
      <c r="C54" t="s">
        <v>243</v>
      </c>
      <c r="D54" t="s">
        <v>162</v>
      </c>
    </row>
    <row r="55" spans="1:4" x14ac:dyDescent="0.25">
      <c r="A55">
        <v>54</v>
      </c>
      <c r="C55" t="s">
        <v>244</v>
      </c>
      <c r="D55" t="s">
        <v>158</v>
      </c>
    </row>
    <row r="56" spans="1:4" x14ac:dyDescent="0.25">
      <c r="A56">
        <v>55</v>
      </c>
      <c r="C56" t="s">
        <v>245</v>
      </c>
      <c r="D56" t="s">
        <v>153</v>
      </c>
    </row>
    <row r="57" spans="1:4" x14ac:dyDescent="0.25">
      <c r="A57">
        <v>56</v>
      </c>
      <c r="C57" t="s">
        <v>246</v>
      </c>
      <c r="D57" t="s">
        <v>152</v>
      </c>
    </row>
    <row r="58" spans="1:4" x14ac:dyDescent="0.25">
      <c r="A58">
        <v>57</v>
      </c>
      <c r="C58" t="s">
        <v>247</v>
      </c>
      <c r="D58" t="s">
        <v>187</v>
      </c>
    </row>
    <row r="59" spans="1:4" x14ac:dyDescent="0.25">
      <c r="A59">
        <v>58</v>
      </c>
      <c r="C59" t="s">
        <v>248</v>
      </c>
      <c r="D59" t="s">
        <v>182</v>
      </c>
    </row>
    <row r="60" spans="1:4" x14ac:dyDescent="0.25">
      <c r="A60">
        <v>59</v>
      </c>
      <c r="C60" t="s">
        <v>249</v>
      </c>
      <c r="D60" t="s">
        <v>155</v>
      </c>
    </row>
    <row r="61" spans="1:4" x14ac:dyDescent="0.25">
      <c r="A61">
        <v>60</v>
      </c>
      <c r="C61" t="s">
        <v>250</v>
      </c>
      <c r="D61" t="s">
        <v>151</v>
      </c>
    </row>
    <row r="62" spans="1:4" x14ac:dyDescent="0.25">
      <c r="A62">
        <v>61</v>
      </c>
      <c r="C62" t="s">
        <v>251</v>
      </c>
      <c r="D62" t="s">
        <v>158</v>
      </c>
    </row>
    <row r="63" spans="1:4" x14ac:dyDescent="0.25">
      <c r="A63">
        <v>62</v>
      </c>
      <c r="C63" t="s">
        <v>252</v>
      </c>
      <c r="D63" t="s">
        <v>158</v>
      </c>
    </row>
    <row r="64" spans="1:4" x14ac:dyDescent="0.25">
      <c r="A64">
        <v>63</v>
      </c>
      <c r="C64" t="s">
        <v>253</v>
      </c>
      <c r="D64" t="s">
        <v>182</v>
      </c>
    </row>
    <row r="65" spans="1:4" x14ac:dyDescent="0.25">
      <c r="A65">
        <v>64</v>
      </c>
      <c r="C65" t="s">
        <v>254</v>
      </c>
      <c r="D65" t="s">
        <v>165</v>
      </c>
    </row>
    <row r="66" spans="1:4" x14ac:dyDescent="0.25">
      <c r="A66">
        <v>65</v>
      </c>
      <c r="C66" t="s">
        <v>255</v>
      </c>
      <c r="D66" t="s">
        <v>182</v>
      </c>
    </row>
    <row r="67" spans="1:4" x14ac:dyDescent="0.25">
      <c r="A67">
        <v>66</v>
      </c>
      <c r="C67" t="s">
        <v>256</v>
      </c>
      <c r="D67" t="s">
        <v>182</v>
      </c>
    </row>
    <row r="68" spans="1:4" x14ac:dyDescent="0.25">
      <c r="A68">
        <v>67</v>
      </c>
      <c r="C68" t="s">
        <v>257</v>
      </c>
      <c r="D68" t="s">
        <v>179</v>
      </c>
    </row>
    <row r="69" spans="1:4" x14ac:dyDescent="0.25">
      <c r="A69">
        <v>68</v>
      </c>
      <c r="C69" t="s">
        <v>258</v>
      </c>
      <c r="D69" t="s">
        <v>165</v>
      </c>
    </row>
    <row r="70" spans="1:4" x14ac:dyDescent="0.25">
      <c r="A70">
        <v>69</v>
      </c>
      <c r="C70" t="s">
        <v>259</v>
      </c>
      <c r="D70" t="s">
        <v>181</v>
      </c>
    </row>
    <row r="71" spans="1:4" x14ac:dyDescent="0.25">
      <c r="A71">
        <v>70</v>
      </c>
      <c r="C71" t="s">
        <v>260</v>
      </c>
      <c r="D71" t="s">
        <v>155</v>
      </c>
    </row>
    <row r="72" spans="1:4" x14ac:dyDescent="0.25">
      <c r="A72">
        <v>71</v>
      </c>
      <c r="C72" t="s">
        <v>261</v>
      </c>
      <c r="D72" t="s">
        <v>182</v>
      </c>
    </row>
    <row r="73" spans="1:4" x14ac:dyDescent="0.25">
      <c r="A73">
        <v>72</v>
      </c>
      <c r="C73" t="s">
        <v>262</v>
      </c>
      <c r="D73" t="s">
        <v>180</v>
      </c>
    </row>
    <row r="74" spans="1:4" x14ac:dyDescent="0.25">
      <c r="A74">
        <v>73</v>
      </c>
      <c r="C74" t="s">
        <v>263</v>
      </c>
      <c r="D74" t="s">
        <v>151</v>
      </c>
    </row>
    <row r="75" spans="1:4" x14ac:dyDescent="0.25">
      <c r="A75">
        <v>74</v>
      </c>
      <c r="C75" t="s">
        <v>264</v>
      </c>
      <c r="D75" t="s">
        <v>148</v>
      </c>
    </row>
    <row r="76" spans="1:4" x14ac:dyDescent="0.25">
      <c r="A76">
        <v>75</v>
      </c>
      <c r="C76" t="s">
        <v>265</v>
      </c>
      <c r="D76" t="s">
        <v>184</v>
      </c>
    </row>
    <row r="77" spans="1:4" x14ac:dyDescent="0.25">
      <c r="A77">
        <v>76</v>
      </c>
      <c r="C77" t="s">
        <v>266</v>
      </c>
      <c r="D77" t="s">
        <v>155</v>
      </c>
    </row>
    <row r="78" spans="1:4" x14ac:dyDescent="0.25">
      <c r="A78">
        <v>77</v>
      </c>
      <c r="C78" t="s">
        <v>267</v>
      </c>
      <c r="D78" t="s">
        <v>179</v>
      </c>
    </row>
    <row r="79" spans="1:4" x14ac:dyDescent="0.25">
      <c r="A79">
        <v>78</v>
      </c>
      <c r="C79" t="s">
        <v>268</v>
      </c>
      <c r="D79" t="s">
        <v>155</v>
      </c>
    </row>
    <row r="80" spans="1:4" x14ac:dyDescent="0.25">
      <c r="A80">
        <v>79</v>
      </c>
      <c r="C80" t="s">
        <v>269</v>
      </c>
      <c r="D80" t="s">
        <v>154</v>
      </c>
    </row>
    <row r="81" spans="1:4" x14ac:dyDescent="0.25">
      <c r="A81">
        <v>80</v>
      </c>
      <c r="C81" t="s">
        <v>270</v>
      </c>
      <c r="D81" t="s">
        <v>178</v>
      </c>
    </row>
  </sheetData>
  <sortState xmlns:xlrd2="http://schemas.microsoft.com/office/spreadsheetml/2017/richdata2" ref="C2:D89">
    <sortCondition ref="C2:C8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0BBC-BA0C-45B2-9489-2940EB3FACD7}">
  <sheetPr codeName="Planilha4"/>
  <dimension ref="A1:J16"/>
  <sheetViews>
    <sheetView showGridLines="0" workbookViewId="0">
      <selection activeCell="D6" sqref="D6"/>
    </sheetView>
  </sheetViews>
  <sheetFormatPr defaultRowHeight="15" x14ac:dyDescent="0.25"/>
  <cols>
    <col min="1" max="1" width="93.5703125" customWidth="1"/>
    <col min="2" max="2" width="9.5703125" customWidth="1"/>
    <col min="3" max="3" width="24.5703125" bestFit="1" customWidth="1"/>
    <col min="4" max="4" width="12.5703125" bestFit="1" customWidth="1"/>
    <col min="5" max="5" width="18" bestFit="1" customWidth="1"/>
    <col min="6" max="6" width="14.42578125" bestFit="1" customWidth="1"/>
    <col min="7" max="7" width="12.5703125" bestFit="1" customWidth="1"/>
    <col min="8" max="8" width="18" bestFit="1" customWidth="1"/>
    <col min="9" max="9" width="12.5703125" bestFit="1" customWidth="1"/>
    <col min="10" max="10" width="12.7109375" bestFit="1" customWidth="1"/>
    <col min="11" max="11" width="18" bestFit="1" customWidth="1"/>
    <col min="12" max="12" width="12.5703125" bestFit="1" customWidth="1"/>
  </cols>
  <sheetData>
    <row r="1" spans="1:10" x14ac:dyDescent="0.25">
      <c r="C1" s="17" t="s">
        <v>174</v>
      </c>
      <c r="D1" t="s">
        <v>171</v>
      </c>
      <c r="F1" s="17" t="s">
        <v>175</v>
      </c>
      <c r="G1" t="s">
        <v>171</v>
      </c>
    </row>
    <row r="2" spans="1:10" x14ac:dyDescent="0.25">
      <c r="A2" t="s">
        <v>171</v>
      </c>
      <c r="C2" s="18" t="s">
        <v>271</v>
      </c>
      <c r="D2" s="21"/>
      <c r="F2" s="18" t="s">
        <v>271</v>
      </c>
      <c r="G2" s="21"/>
    </row>
    <row r="3" spans="1:10" x14ac:dyDescent="0.25">
      <c r="A3" s="21"/>
      <c r="C3" s="18" t="s">
        <v>172</v>
      </c>
      <c r="D3" s="21"/>
      <c r="F3" s="18" t="s">
        <v>172</v>
      </c>
      <c r="G3" s="21"/>
    </row>
    <row r="4" spans="1:10" x14ac:dyDescent="0.25">
      <c r="J4" s="19"/>
    </row>
    <row r="8" spans="1:10" x14ac:dyDescent="0.25">
      <c r="F8" s="17" t="s">
        <v>176</v>
      </c>
      <c r="G8" t="s">
        <v>171</v>
      </c>
    </row>
    <row r="9" spans="1:10" x14ac:dyDescent="0.25">
      <c r="F9" s="18" t="s">
        <v>271</v>
      </c>
      <c r="G9" s="21"/>
    </row>
    <row r="10" spans="1:10" x14ac:dyDescent="0.25">
      <c r="F10" s="18" t="s">
        <v>172</v>
      </c>
      <c r="G10" s="21"/>
    </row>
    <row r="14" spans="1:10" x14ac:dyDescent="0.25">
      <c r="F14" s="17" t="s">
        <v>177</v>
      </c>
      <c r="G14" t="s">
        <v>171</v>
      </c>
    </row>
    <row r="15" spans="1:10" x14ac:dyDescent="0.25">
      <c r="F15" s="18" t="s">
        <v>271</v>
      </c>
      <c r="G15" s="21"/>
    </row>
    <row r="16" spans="1:10" x14ac:dyDescent="0.25">
      <c r="F16" s="18" t="s">
        <v>172</v>
      </c>
      <c r="G16" s="21"/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2F0F-A909-4C58-BA84-142E51697FAF}">
  <sheetPr codeName="Planilha2">
    <tabColor theme="7" tint="0.59999389629810485"/>
  </sheetPr>
  <dimension ref="A1:H14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24.5703125" bestFit="1" customWidth="1"/>
    <col min="2" max="2" width="33.85546875" bestFit="1" customWidth="1"/>
    <col min="3" max="3" width="19.85546875" customWidth="1"/>
    <col min="4" max="4" width="21.85546875" customWidth="1"/>
    <col min="5" max="5" width="28.28515625" customWidth="1"/>
    <col min="6" max="6" width="29.42578125" bestFit="1" customWidth="1"/>
    <col min="7" max="7" width="21.5703125" customWidth="1"/>
    <col min="8" max="8" width="31" customWidth="1"/>
  </cols>
  <sheetData>
    <row r="1" spans="1:8" ht="82.5" customHeight="1" x14ac:dyDescent="0.25"/>
    <row r="3" spans="1:8" x14ac:dyDescent="0.25">
      <c r="H3" s="4" t="str">
        <f>"Registros: "&amp;SUBTOTAL(3,Tabela1[Área Técnica])</f>
        <v>Registros: 0</v>
      </c>
    </row>
    <row r="4" spans="1:8" x14ac:dyDescent="0.25">
      <c r="A4" s="16" t="s">
        <v>135</v>
      </c>
      <c r="B4" s="16" t="s">
        <v>173</v>
      </c>
      <c r="C4" t="s">
        <v>136</v>
      </c>
      <c r="D4" t="s">
        <v>137</v>
      </c>
      <c r="E4" t="s">
        <v>138</v>
      </c>
      <c r="F4" s="16" t="s">
        <v>140</v>
      </c>
      <c r="G4" s="16" t="s">
        <v>147</v>
      </c>
      <c r="H4" s="16" t="s">
        <v>139</v>
      </c>
    </row>
    <row r="5" spans="1:8" ht="17.25" x14ac:dyDescent="0.25">
      <c r="E5" s="2"/>
    </row>
    <row r="14" spans="1:8" ht="15.75" customHeight="1" x14ac:dyDescent="0.25"/>
  </sheetData>
  <sortState xmlns:xlrd2="http://schemas.microsoft.com/office/spreadsheetml/2017/richdata2" ref="L5:L26">
    <sortCondition ref="L5:L26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Ooops" error="Selecione uma opção válida, não invente moda." promptTitle="Área técnica" prompt="Selecione a Área Técnica relacionada" xr:uid="{540C4AC4-E819-4354-B294-4BE6592A6E57}">
          <x14:formula1>
            <xm:f>Parâmetros!$B$2:$B$23</xm:f>
          </x14:formula1>
          <xm:sqref>A5:A204</xm:sqref>
        </x14:dataValidation>
        <x14:dataValidation type="list" allowBlank="1" showInputMessage="1" showErrorMessage="1" errorTitle="Ooops" error="Selecione uma opção válida" promptTitle="Parecer" prompt="Selecione uma opção válida" xr:uid="{2AF566AA-BB4A-4050-887D-D5A1449750EF}">
          <x14:formula1>
            <xm:f>Parâmetros!$E$2:$E$4</xm:f>
          </x14:formula1>
          <xm:sqref>F5:F204</xm:sqref>
        </x14:dataValidation>
        <x14:dataValidation type="list" allowBlank="1" showInputMessage="1" showErrorMessage="1" errorTitle="Ooops" error="Selecione uma opção válida, não invente moda." promptTitle="Sugestão" prompt="Selecione um opção válida" xr:uid="{9A3639ED-ECC7-4287-8960-5FA497B04A8C}">
          <x14:formula1>
            <xm:f>Parâmetros!$F$2:$F$3</xm:f>
          </x14:formula1>
          <xm:sqref>G5:G204</xm:sqref>
        </x14:dataValidation>
        <x14:dataValidation type="list" allowBlank="1" showInputMessage="1" showErrorMessage="1" errorTitle="Ooops" error="Selecione uma opção válida" promptTitle="Posicionamento" prompt="Selecione uma opção válida" xr:uid="{1BCE6871-B775-4A00-BE15-5C5B59E6750E}">
          <x14:formula1>
            <xm:f>Parâmetros!$G$2:$G$4</xm:f>
          </x14:formula1>
          <xm:sqref>H5:H204</xm:sqref>
        </x14:dataValidation>
        <x14:dataValidation type="list" allowBlank="1" showInputMessage="1" showErrorMessage="1" errorTitle="Ooops" error="Selecione uma opção válida" promptTitle="Responsável" prompt="Selecione um nome da lista" xr:uid="{873E797C-A1DF-41A0-92AE-9A8C4A9BCC0B}">
          <x14:formula1>
            <xm:f>Parâmetros!$C$2:$C$81</xm:f>
          </x14:formula1>
          <xm:sqref>B5:B204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Comissões</vt:lpstr>
      <vt:lpstr>Parâmetros</vt:lpstr>
      <vt:lpstr>Totais</vt:lpstr>
      <vt:lpstr>Projetos prioritários - Área</vt:lpstr>
      <vt:lpstr>Comissões!Area_de_impressao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Augusto de Almeida</dc:creator>
  <cp:lastModifiedBy>Estudos Técnicos CNM</cp:lastModifiedBy>
  <cp:lastPrinted>2026-07-03T17:47:46Z</cp:lastPrinted>
  <dcterms:created xsi:type="dcterms:W3CDTF">2015-06-05T18:19:34Z</dcterms:created>
  <dcterms:modified xsi:type="dcterms:W3CDTF">2026-08-14T20:50:49Z</dcterms:modified>
</cp:coreProperties>
</file>